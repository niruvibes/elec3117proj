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f4a1a928e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List" sheetId="1" r:id="R36dfaceb75784735"/>
    <x:sheet xmlns:r="http://schemas.openxmlformats.org/officeDocument/2006/relationships" name="All Components" sheetId="2" r:id="R32116aa799ed4765"/>
    <x:sheet xmlns:r="http://schemas.openxmlformats.org/officeDocument/2006/relationships" name="Do Not Buy" sheetId="3" r:id="R154bee94312d468b"/>
    <x:sheet xmlns:r="http://schemas.openxmlformats.org/officeDocument/2006/relationships" name="Assumptions &amp; Notes" sheetId="4" r:id="R0774748b45b7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9"/>
      <x:color rgb="FF0563C1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3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bf1da42be4e4c" /><Relationship Type="http://schemas.openxmlformats.org/officeDocument/2006/relationships/theme" Target="/xl/theme/theme1.xml" Id="R9edc9a37237e4ba0" /><Relationship Type="http://schemas.openxmlformats.org/officeDocument/2006/relationships/sharedStrings" Target="/xl/sharedStrings.xml" Id="R7e5aa215c7e8456d" /><Relationship Type="http://schemas.openxmlformats.org/officeDocument/2006/relationships/worksheet" Target="/xl/worksheets/sheet1.xml" Id="R36dfaceb75784735" /><Relationship Type="http://schemas.openxmlformats.org/officeDocument/2006/relationships/worksheet" Target="/xl/worksheets/sheet2.xml" Id="R32116aa799ed4765" /><Relationship Type="http://schemas.openxmlformats.org/officeDocument/2006/relationships/worksheet" Target="/xl/worksheets/sheet3.xml" Id="R154bee94312d468b" /><Relationship Type="http://schemas.openxmlformats.org/officeDocument/2006/relationships/worksheet" Target="/xl/worksheets/sheet4.xml" Id="R0774748b45b7423d" /></Relationships>
</file>

<file path=xl/tables/table1.xml><?xml version="1.0" encoding="utf-8"?>
<x:table xmlns:x="http://schemas.openxmlformats.org/spreadsheetml/2006/main" id="2" name="DigiKeyPurchaseTable" displayName="DigiKeyPurchaseTable" ref="A4:U60" headerRowCount="1" totalsRowCount="0" totalsRowShown="0">
  <x:tableColumns count="21">
    <x:tableColumn id="1" name="Buy?"/>
    <x:tableColumn id="2" name="Category"/>
    <x:tableColumn id="3" name="Designators"/>
    <x:tableColumn id="4" name="Qty / board"/>
    <x:tableColumn id="5" name="Value / function"/>
    <x:tableColumn id="6" name="Package / footprint"/>
    <x:tableColumn id="7" name="Critical specification"/>
    <x:tableColumn id="8" name="Manufacturer"/>
    <x:tableColumn id="9" name="Recommended MPN"/>
    <x:tableColumn id="10" name="DigiKey cut-tape / order PN"/>
    <x:tableColumn id="11" name="DigiKey product/search link"/>
    <x:tableColumn id="12" name="Availability / validation note"/>
    <x:tableColumn id="13" name="Required qty"/>
    <x:tableColumn id="14" name="Spare %"/>
    <x:tableColumn id="15" name="Suggested buy qty"/>
    <x:tableColumn id="16" name="Unit price (AUD)"/>
    <x:tableColumn id="17" name="Estimated cost (AUD)"/>
    <x:tableColumn id="18" name="Order status"/>
    <x:tableColumn id="19" name="Received qty"/>
    <x:tableColumn id="20" name="Check"/>
    <x:tableColumn id="21" name="Notes / substitution 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llComponentsTable" displayName="AllComponentsTable" ref="A4:I157" headerRowCount="1" totalsRowCount="0" totalsRowShown="0">
  <x:tableColumns count="9">
    <x:tableColumn id="1" name="Reference"/>
    <x:tableColumn id="2" name="Type"/>
    <x:tableColumn id="3" name="Value / function"/>
    <x:tableColumn id="4" name="Package / footprint"/>
    <x:tableColumn id="5" name="Purchase group"/>
    <x:tableColumn id="6" name="Recommended MPN"/>
    <x:tableColumn id="7" name="Buy status"/>
    <x:tableColumn id="8" name="Reason / note"/>
    <x:tableColumn id="9" name="Verified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DoNotBuyTable" displayName="DoNotBuyTable" ref="A4:G13" headerRowCount="1" totalsRowCount="0" totalsRowShown="0">
  <x:tableColumns count="7">
    <x:tableColumn id="1" name="Reason"/>
    <x:tableColumn id="2" name="Designators"/>
    <x:tableColumn id="3" name="Value / function"/>
    <x:tableColumn id="4" name="Footprint"/>
    <x:tableColumn id="5" name="Optional MPN if later fitted"/>
    <x:tableColumn id="6" name="Buy quantity"/>
    <x:tableColumn id="7" name="Explanati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CriticalNotesTable" displayName="CriticalNotesTable" ref="A11:H20" headerRowCount="1" totalsRowCount="0" totalsRowShown="0">
  <x:tableColumns count="8">
    <x:tableColumn id="1" name="Priority"/>
    <x:tableColumn id="2" name="Item"/>
    <x:tableColumn id="3" name="What to check"/>
    <x:tableColumn id="4" name="Why it matters"/>
    <x:tableColumn id="5" name="Reference(s)"/>
    <x:tableColumn id="6" name="Status"/>
    <x:tableColumn id="7" name="Source"/>
    <x:tableColumn id="8" name="Checked by /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9cb403d0f145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324df5bf8943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df2f5e920d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cf643eb60247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5" hidden="0" customWidth="1"/>
    <x:col min="4" max="4" width="10" hidden="0" customWidth="1"/>
    <x:col min="5" max="5" width="18" hidden="0" customWidth="1"/>
    <x:col min="6" max="6" width="19" hidden="0" customWidth="1"/>
    <x:col min="7" max="7" width="34" hidden="0" customWidth="1"/>
    <x:col min="8" max="8" width="23" hidden="0" customWidth="1"/>
    <x:col min="9" max="9" width="31" hidden="0" customWidth="1"/>
    <x:col min="10" max="10" width="27" hidden="0" customWidth="1"/>
    <x:col min="11" max="11" width="52" hidden="0" customWidth="1"/>
    <x:col min="12" max="12" width="32" hidden="0" customWidth="1"/>
    <x:col min="13" max="13" width="11" hidden="0" customWidth="1"/>
    <x:col min="14" max="14" width="9" hidden="0" customWidth="1"/>
    <x:col min="15" max="15" width="13" hidden="0" customWidth="1"/>
    <x:col min="16" max="16" width="13" hidden="0" customWidth="1"/>
    <x:col min="17" max="17" width="14" hidden="0" customWidth="1"/>
    <x:col min="18" max="18" width="14" hidden="0" customWidth="1"/>
    <x:col min="19" max="19" width="11" hidden="0" customWidth="1"/>
    <x:col min="20" max="20" width="11" hidden="0" customWidth="1"/>
    <x:col min="21" max="21" width="50" hidden="0" customWidth="1"/>
  </x:cols>
  <x:sheetData>
    <x:row r="1" ht="30" customHeight="1">
      <x:c r="A1" s="4" t="str">
        <x:v>DigiKey purchase checklist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8" t="str">
        <x:v>Every fitted order line is grouped by exact specification. Prepared 2026-07-21; update stock and prices at checkout. Rows marked CHECK are intentionally blocked.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>
      <x:c r="A4" s="14" t="str">
        <x:v>Buy?</x:v>
      </x:c>
      <x:c r="B4" s="14" t="str">
        <x:v>Category</x:v>
      </x:c>
      <x:c r="C4" s="14" t="str">
        <x:v>Designators</x:v>
      </x:c>
      <x:c r="D4" s="14" t="str">
        <x:v>Qty / board</x:v>
      </x:c>
      <x:c r="E4" s="14" t="str">
        <x:v>Value / function</x:v>
      </x:c>
      <x:c r="F4" s="14" t="str">
        <x:v>Package / footprint</x:v>
      </x:c>
      <x:c r="G4" s="14" t="str">
        <x:v>Critical specification</x:v>
      </x:c>
      <x:c r="H4" s="14" t="str">
        <x:v>Manufacturer</x:v>
      </x:c>
      <x:c r="I4" s="14" t="str">
        <x:v>Recommended MPN</x:v>
      </x:c>
      <x:c r="J4" s="14" t="str">
        <x:v>DigiKey cut-tape / order PN</x:v>
      </x:c>
      <x:c r="K4" s="14" t="str">
        <x:v>DigiKey product/search link</x:v>
      </x:c>
      <x:c r="L4" s="14" t="str">
        <x:v>Availability / validation note</x:v>
      </x:c>
      <x:c r="M4" s="14" t="str">
        <x:v>Required qty</x:v>
      </x:c>
      <x:c r="N4" s="14" t="str">
        <x:v>Spare %</x:v>
      </x:c>
      <x:c r="O4" s="14" t="str">
        <x:v>Suggested buy qty</x:v>
      </x:c>
      <x:c r="P4" s="14" t="str">
        <x:v>Unit price (AUD)</x:v>
      </x:c>
      <x:c r="Q4" s="14" t="str">
        <x:v>Estimated cost (AUD)</x:v>
      </x:c>
      <x:c r="R4" s="14" t="str">
        <x:v>Order status</x:v>
      </x:c>
      <x:c r="S4" s="14" t="str">
        <x:v>Received qty</x:v>
      </x:c>
      <x:c r="T4" s="14" t="str">
        <x:v>Check</x:v>
      </x:c>
      <x:c r="U4" s="14" t="str">
        <x:v>Notes / substitution guardrail</x:v>
      </x:c>
    </x:row>
    <x:row r="5" ht="48" customHeight="1">
      <x:c r="A5" s="26" t="str">
        <x:v>YES</x:v>
      </x:c>
      <x:c r="B5" s="26" t="str">
        <x:v>Capacitor</x:v>
      </x:c>
      <x:c r="C5" s="26" t="str">
        <x:v>C1,C5,C7,C13,C17,C19,C31,C32,C40,C43,C45,C50</x:v>
      </x:c>
      <x:c r="D5" s="26" t="n">
        <x:v>12</x:v>
      </x:c>
      <x:c r="E5" s="26" t="str">
        <x:v>100 nF</x:v>
      </x:c>
      <x:c r="F5" s="26" t="str">
        <x:v>0603</x:v>
      </x:c>
      <x:c r="G5" s="26" t="str">
        <x:v>50 V, X7R, ±10%</x:v>
      </x:c>
      <x:c r="H5" s="26" t="str">
        <x:v>YAGEO</x:v>
      </x:c>
      <x:c r="I5" s="26" t="str">
        <x:v>CC0603KRX7R9BB104</x:v>
      </x:c>
      <x:c r="J5" s="26" t="str"/>
      <x:c r="K5" s="23" t="str">
        <x:v>https://www.digikey.com/en/products/result?keywords=CC0603KRX7R9BB104</x:v>
      </x:c>
      <x:c r="L5" s="26" t="str">
        <x:v>Check live DigiKey stock</x:v>
      </x:c>
      <x:c r="M5" s="27" t="n">
        <x:f>D5*'Assumptions &amp; Notes'!$B$5</x:f>
        <x:v>12</x:v>
      </x:c>
      <x:c r="N5" s="29" t="n">
        <x:f>'Assumptions &amp; Notes'!$B$6</x:f>
        <x:v>0.2</x:v>
      </x:c>
      <x:c r="O5" s="27" t="n">
        <x:f>IF(A5="YES",ROUNDUP(M5*(1+N5),0),0)</x:f>
        <x:v>15</x:v>
      </x:c>
      <x:c r="P5" s="30"/>
      <x:c r="Q5" s="31" t="str">
        <x:f>IF(P5="","",O5*P5)</x:f>
      </x:c>
      <x:c r="R5" s="28" t="str">
        <x:v>Not checked</x:v>
      </x:c>
      <x:c r="S5" s="28"/>
      <x:c r="T5" s="26" t="str">
        <x:f>IF(A5&lt;&gt;"YES","HOLD",IF(R5="Received",IF(S5&gt;=O5,"OK","SHORT"),"PENDING"))</x:f>
        <x:v>PENDING</x:v>
      </x:c>
      <x:c r="U5" s="26" t="str"/>
    </x:row>
    <x:row r="6" ht="48" customHeight="1">
      <x:c r="A6" s="26" t="str">
        <x:v>YES</x:v>
      </x:c>
      <x:c r="B6" s="26" t="str">
        <x:v>Capacitor</x:v>
      </x:c>
      <x:c r="C6" s="26" t="str">
        <x:v>C10,C12</x:v>
      </x:c>
      <x:c r="D6" s="26" t="n">
        <x:v>2</x:v>
      </x:c>
      <x:c r="E6" s="26" t="str">
        <x:v>22 nF</x:v>
      </x:c>
      <x:c r="F6" s="26" t="str">
        <x:v>0603</x:v>
      </x:c>
      <x:c r="G6" s="26" t="str">
        <x:v>50 V, X7R, ±10%</x:v>
      </x:c>
      <x:c r="H6" s="26" t="str">
        <x:v>YAGEO</x:v>
      </x:c>
      <x:c r="I6" s="26" t="str">
        <x:v>CC0603KRX7R9BB223</x:v>
      </x:c>
      <x:c r="J6" s="26" t="str"/>
      <x:c r="K6" s="23" t="str">
        <x:v>https://www.digikey.com/en/products/result?keywords=CC0603KRX7R9BB223</x:v>
      </x:c>
      <x:c r="L6" s="26" t="str">
        <x:v>Check live DigiKey stock</x:v>
      </x:c>
      <x:c r="M6" s="27" t="n">
        <x:f>D6*'Assumptions &amp; Notes'!$B$5</x:f>
        <x:v>2</x:v>
      </x:c>
      <x:c r="N6" s="29" t="n">
        <x:f>'Assumptions &amp; Notes'!$B$6</x:f>
        <x:v>0.2</x:v>
      </x:c>
      <x:c r="O6" s="27" t="n">
        <x:f>IF(A6="YES",ROUNDUP(M6*(1+N6),0),0)</x:f>
        <x:v>3</x:v>
      </x:c>
      <x:c r="P6" s="30"/>
      <x:c r="Q6" s="31" t="str">
        <x:f>IF(P6="","",O6*P6)</x:f>
      </x:c>
      <x:c r="R6" s="28" t="str">
        <x:v>Not checked</x:v>
      </x:c>
      <x:c r="S6" s="28"/>
      <x:c r="T6" s="26" t="str">
        <x:f>IF(A6&lt;&gt;"YES","HOLD",IF(R6="Received",IF(S6&gt;=O6,"OK","SHORT"),"PENDING"))</x:f>
        <x:v>PENDING</x:v>
      </x:c>
      <x:c r="U6" s="26" t="str"/>
    </x:row>
    <x:row r="7" ht="48" customHeight="1">
      <x:c r="A7" s="26" t="str">
        <x:v>YES</x:v>
      </x:c>
      <x:c r="B7" s="26" t="str">
        <x:v>Capacitor</x:v>
      </x:c>
      <x:c r="C7" s="26" t="str">
        <x:v>C11</x:v>
      </x:c>
      <x:c r="D7" s="26" t="n">
        <x:v>1</x:v>
      </x:c>
      <x:c r="E7" s="26" t="str">
        <x:v>220 nF</x:v>
      </x:c>
      <x:c r="F7" s="26" t="str">
        <x:v>0603</x:v>
      </x:c>
      <x:c r="G7" s="26" t="str">
        <x:v>25 V, X7R, ±10%</x:v>
      </x:c>
      <x:c r="H7" s="26" t="str">
        <x:v>YAGEO</x:v>
      </x:c>
      <x:c r="I7" s="26" t="str">
        <x:v>CC0603KRX7R8BB224</x:v>
      </x:c>
      <x:c r="J7" s="26" t="str"/>
      <x:c r="K7" s="23" t="str">
        <x:v>https://www.digikey.com/en/products/result?keywords=CC0603KRX7R8BB224</x:v>
      </x:c>
      <x:c r="L7" s="26" t="str">
        <x:v>Check live DigiKey stock</x:v>
      </x:c>
      <x:c r="M7" s="27" t="n">
        <x:f>D7*'Assumptions &amp; Notes'!$B$5</x:f>
        <x:v>1</x:v>
      </x:c>
      <x:c r="N7" s="29" t="n">
        <x:f>'Assumptions &amp; Notes'!$B$6</x:f>
        <x:v>0.2</x:v>
      </x:c>
      <x:c r="O7" s="27" t="n">
        <x:f>IF(A7="YES",ROUNDUP(M7*(1+N7),0),0)</x:f>
        <x:v>2</x:v>
      </x:c>
      <x:c r="P7" s="30"/>
      <x:c r="Q7" s="31" t="str">
        <x:f>IF(P7="","",O7*P7)</x:f>
      </x:c>
      <x:c r="R7" s="28" t="str">
        <x:v>Not checked</x:v>
      </x:c>
      <x:c r="S7" s="28"/>
      <x:c r="T7" s="26" t="str">
        <x:f>IF(A7&lt;&gt;"YES","HOLD",IF(R7="Received",IF(S7&gt;=O7,"OK","SHORT"),"PENDING"))</x:f>
        <x:v>PENDING</x:v>
      </x:c>
      <x:c r="U7" s="26" t="str"/>
    </x:row>
    <x:row r="8" ht="48" customHeight="1">
      <x:c r="A8" s="26" t="str">
        <x:v>YES</x:v>
      </x:c>
      <x:c r="B8" s="26" t="str">
        <x:v>Capacitor</x:v>
      </x:c>
      <x:c r="C8" s="26" t="str">
        <x:v>C15</x:v>
      </x:c>
      <x:c r="D8" s="26" t="n">
        <x:v>1</x:v>
      </x:c>
      <x:c r="E8" s="26" t="str">
        <x:v>150 pF</x:v>
      </x:c>
      <x:c r="F8" s="26" t="str">
        <x:v>0603</x:v>
      </x:c>
      <x:c r="G8" s="26" t="str">
        <x:v>50 V, X7R, ±10%</x:v>
      </x:c>
      <x:c r="H8" s="26" t="str">
        <x:v>YAGEO</x:v>
      </x:c>
      <x:c r="I8" s="26" t="str">
        <x:v>CC0603KRX7R9BB151</x:v>
      </x:c>
      <x:c r="J8" s="26" t="str">
        <x:v>311-4095-1-ND</x:v>
      </x:c>
      <x:c r="K8" s="23" t="str">
        <x:v>https://www.digikey.com/en/products/detail/yageo/CC0603KRX7R9BB151/5883798</x:v>
      </x:c>
      <x:c r="L8" s="26" t="str">
        <x:v>Check live DigiKey stock</x:v>
      </x:c>
      <x:c r="M8" s="27" t="n">
        <x:f>D8*'Assumptions &amp; Notes'!$B$5</x:f>
        <x:v>1</x:v>
      </x:c>
      <x:c r="N8" s="29" t="n">
        <x:f>'Assumptions &amp; Notes'!$B$6</x:f>
        <x:v>0.2</x:v>
      </x:c>
      <x:c r="O8" s="27" t="n">
        <x:f>IF(A8="YES",ROUNDUP(M8*(1+N8),0),0)</x:f>
        <x:v>2</x:v>
      </x:c>
      <x:c r="P8" s="30"/>
      <x:c r="Q8" s="31" t="str">
        <x:f>IF(P8="","",O8*P8)</x:f>
      </x:c>
      <x:c r="R8" s="28" t="str">
        <x:v>Not checked</x:v>
      </x:c>
      <x:c r="S8" s="28"/>
      <x:c r="T8" s="26" t="str">
        <x:f>IF(A8&lt;&gt;"YES","HOLD",IF(R8="Received",IF(S8&gt;=O8,"OK","SHORT"),"PENDING"))</x:f>
        <x:v>PENDING</x:v>
      </x:c>
      <x:c r="U8" s="26" t="str"/>
    </x:row>
    <x:row r="9" ht="48" customHeight="1">
      <x:c r="A9" s="26" t="str">
        <x:v>YES</x:v>
      </x:c>
      <x:c r="B9" s="26" t="str">
        <x:v>Capacitor</x:v>
      </x:c>
      <x:c r="C9" s="26" t="str">
        <x:v>C28,C33,C41,C46,C48</x:v>
      </x:c>
      <x:c r="D9" s="26" t="n">
        <x:v>5</x:v>
      </x:c>
      <x:c r="E9" s="26" t="str">
        <x:v>10 nF</x:v>
      </x:c>
      <x:c r="F9" s="26" t="str">
        <x:v>0603</x:v>
      </x:c>
      <x:c r="G9" s="26" t="str">
        <x:v>50 V, X7R, ±10%</x:v>
      </x:c>
      <x:c r="H9" s="26" t="str">
        <x:v>YAGEO</x:v>
      </x:c>
      <x:c r="I9" s="26" t="str">
        <x:v>CC0603KRX7R9BB103</x:v>
      </x:c>
      <x:c r="J9" s="26" t="str"/>
      <x:c r="K9" s="23" t="str">
        <x:v>https://www.digikey.com/en/products/result?keywords=CC0603KRX7R9BB103</x:v>
      </x:c>
      <x:c r="L9" s="26" t="str">
        <x:v>Check live DigiKey stock</x:v>
      </x:c>
      <x:c r="M9" s="27" t="n">
        <x:f>D9*'Assumptions &amp; Notes'!$B$5</x:f>
        <x:v>5</x:v>
      </x:c>
      <x:c r="N9" s="29" t="n">
        <x:f>'Assumptions &amp; Notes'!$B$6</x:f>
        <x:v>0.2</x:v>
      </x:c>
      <x:c r="O9" s="27" t="n">
        <x:f>IF(A9="YES",ROUNDUP(M9*(1+N9),0),0)</x:f>
        <x:v>6</x:v>
      </x:c>
      <x:c r="P9" s="30"/>
      <x:c r="Q9" s="31" t="str">
        <x:f>IF(P9="","",O9*P9)</x:f>
      </x:c>
      <x:c r="R9" s="28" t="str">
        <x:v>Not checked</x:v>
      </x:c>
      <x:c r="S9" s="28"/>
      <x:c r="T9" s="26" t="str">
        <x:f>IF(A9&lt;&gt;"YES","HOLD",IF(R9="Received",IF(S9&gt;=O9,"OK","SHORT"),"PENDING"))</x:f>
        <x:v>PENDING</x:v>
      </x:c>
      <x:c r="U9" s="26" t="str"/>
    </x:row>
    <x:row r="10" ht="48" customHeight="1">
      <x:c r="A10" s="26" t="str">
        <x:v>YES</x:v>
      </x:c>
      <x:c r="B10" s="26" t="str">
        <x:v>Capacitor</x:v>
      </x:c>
      <x:c r="C10" s="26" t="str">
        <x:v>C6,C18,C42</x:v>
      </x:c>
      <x:c r="D10" s="26" t="n">
        <x:v>3</x:v>
      </x:c>
      <x:c r="E10" s="26" t="str">
        <x:v>1 µF</x:v>
      </x:c>
      <x:c r="F10" s="26" t="str">
        <x:v>0603</x:v>
      </x:c>
      <x:c r="G10" s="26" t="str">
        <x:v>50 V, X5R, ±10%</x:v>
      </x:c>
      <x:c r="H10" s="26" t="str">
        <x:v>Samsung Electro-Mechanics</x:v>
      </x:c>
      <x:c r="I10" s="26" t="str">
        <x:v>CL10A105KB8NNNC</x:v>
      </x:c>
      <x:c r="J10" s="26" t="str"/>
      <x:c r="K10" s="23" t="str">
        <x:v>https://www.digikey.com/en/products/result?keywords=CL10A105KB8NNNC</x:v>
      </x:c>
      <x:c r="L10" s="26" t="str">
        <x:v>Check live DigiKey stock</x:v>
      </x:c>
      <x:c r="M10" s="27" t="n">
        <x:f>D10*'Assumptions &amp; Notes'!$B$5</x:f>
        <x:v>3</x:v>
      </x:c>
      <x:c r="N10" s="29" t="n">
        <x:f>'Assumptions &amp; Notes'!$B$6</x:f>
        <x:v>0.2</x:v>
      </x:c>
      <x:c r="O10" s="27" t="n">
        <x:f>IF(A10="YES",ROUNDUP(M10*(1+N10),0),0)</x:f>
        <x:v>4</x:v>
      </x:c>
      <x:c r="P10" s="30"/>
      <x:c r="Q10" s="31" t="str">
        <x:f>IF(P10="","",O10*P10)</x:f>
      </x:c>
      <x:c r="R10" s="28" t="str">
        <x:v>Not checked</x:v>
      </x:c>
      <x:c r="S10" s="28"/>
      <x:c r="T10" s="26" t="str">
        <x:f>IF(A10&lt;&gt;"YES","HOLD",IF(R10="Received",IF(S10&gt;=O10,"OK","SHORT"),"PENDING"))</x:f>
        <x:v>PENDING</x:v>
      </x:c>
      <x:c r="U10" s="26" t="str"/>
    </x:row>
    <x:row r="11" ht="48" customHeight="1">
      <x:c r="A11" s="26" t="str">
        <x:v>YES</x:v>
      </x:c>
      <x:c r="B11" s="26" t="str">
        <x:v>Capacitor</x:v>
      </x:c>
      <x:c r="C11" s="26" t="str">
        <x:v>C2</x:v>
      </x:c>
      <x:c r="D11" s="26" t="n">
        <x:v>1</x:v>
      </x:c>
      <x:c r="E11" s="26" t="str">
        <x:v>2.2 µF</x:v>
      </x:c>
      <x:c r="F11" s="26" t="str">
        <x:v>0603</x:v>
      </x:c>
      <x:c r="G11" s="26" t="str">
        <x:v>16 V, X5R, ±10%</x:v>
      </x:c>
      <x:c r="H11" s="26" t="str">
        <x:v>Samsung Electro-Mechanics</x:v>
      </x:c>
      <x:c r="I11" s="26" t="str">
        <x:v>CL10A225KO8NNNC</x:v>
      </x:c>
      <x:c r="J11" s="26" t="str">
        <x:v>1276-1040-1-ND</x:v>
      </x:c>
      <x:c r="K11" s="23" t="str">
        <x:v>https://www.digikey.com/en/products/detail/samsung-electro-mechanics/CL10A225KO8NNNC/3886698</x:v>
      </x:c>
      <x:c r="L11" s="26" t="str">
        <x:v>DigiKey listed; recheck stock at order time</x:v>
      </x:c>
      <x:c r="M11" s="27" t="n">
        <x:f>D11*'Assumptions &amp; Notes'!$B$5</x:f>
        <x:v>1</x:v>
      </x:c>
      <x:c r="N11" s="29" t="n">
        <x:f>'Assumptions &amp; Notes'!$B$6</x:f>
        <x:v>0.2</x:v>
      </x:c>
      <x:c r="O11" s="27" t="n">
        <x:f>IF(A11="YES",ROUNDUP(M11*(1+N11),0),0)</x:f>
        <x:v>2</x:v>
      </x:c>
      <x:c r="P11" s="30"/>
      <x:c r="Q11" s="31" t="str">
        <x:f>IF(P11="","",O11*P11)</x:f>
      </x:c>
      <x:c r="R11" s="28" t="str">
        <x:v>Not checked</x:v>
      </x:c>
      <x:c r="S11" s="28"/>
      <x:c r="T11" s="26" t="str">
        <x:f>IF(A11&lt;&gt;"YES","HOLD",IF(R11="Received",IF(S11&gt;=O11,"OK","SHORT"),"PENDING"))</x:f>
        <x:v>PENDING</x:v>
      </x:c>
      <x:c r="U11" s="26" t="str"/>
    </x:row>
    <x:row r="12" ht="48" customHeight="1">
      <x:c r="A12" s="26" t="str">
        <x:v>YES</x:v>
      </x:c>
      <x:c r="B12" s="26" t="str">
        <x:v>Capacitor</x:v>
      </x:c>
      <x:c r="C12" s="26" t="str">
        <x:v>C20,C21,C23,C24,C25,C26</x:v>
      </x:c>
      <x:c r="D12" s="26" t="n">
        <x:v>6</x:v>
      </x:c>
      <x:c r="E12" s="26" t="str">
        <x:v>22 µF</x:v>
      </x:c>
      <x:c r="F12" s="26" t="str">
        <x:v>1206</x:v>
      </x:c>
      <x:c r="G12" s="26" t="str">
        <x:v>25 V, X6S, ±10%</x:v>
      </x:c>
      <x:c r="H12" s="26" t="str">
        <x:v>Samsung Electro-Mechanics</x:v>
      </x:c>
      <x:c r="I12" s="26" t="str">
        <x:v>CL31X226KAHN3NE</x:v>
      </x:c>
      <x:c r="J12" s="26" t="str">
        <x:v>1276-3299-1-ND</x:v>
      </x:c>
      <x:c r="K12" s="23" t="str">
        <x:v>https://www.digikey.com/en/products/result?keywords=CL31X226KAHN3NE</x:v>
      </x:c>
      <x:c r="L12" s="26" t="str">
        <x:v>Check live DigiKey stock</x:v>
      </x:c>
      <x:c r="M12" s="27" t="n">
        <x:f>D12*'Assumptions &amp; Notes'!$B$5</x:f>
        <x:v>6</x:v>
      </x:c>
      <x:c r="N12" s="29" t="n">
        <x:f>'Assumptions &amp; Notes'!$B$6</x:f>
        <x:v>0.2</x:v>
      </x:c>
      <x:c r="O12" s="27" t="n">
        <x:f>IF(A12="YES",ROUNDUP(M12*(1+N12),0),0)</x:f>
        <x:v>8</x:v>
      </x:c>
      <x:c r="P12" s="30"/>
      <x:c r="Q12" s="31" t="str">
        <x:f>IF(P12="","",O12*P12)</x:f>
      </x:c>
      <x:c r="R12" s="28" t="str">
        <x:v>Not checked</x:v>
      </x:c>
      <x:c r="S12" s="28"/>
      <x:c r="T12" s="26" t="str">
        <x:f>IF(A12&lt;&gt;"YES","HOLD",IF(R12="Received",IF(S12&gt;=O12,"OK","SHORT"),"PENDING"))</x:f>
        <x:v>PENDING</x:v>
      </x:c>
      <x:c r="U12" s="26" t="str"/>
    </x:row>
    <x:row r="13" ht="48" customHeight="1">
      <x:c r="A13" s="26" t="str">
        <x:v>YES</x:v>
      </x:c>
      <x:c r="B13" s="26" t="str">
        <x:v>Capacitor</x:v>
      </x:c>
      <x:c r="C13" s="26" t="str">
        <x:v>C8,C22,C39,C55,C57</x:v>
      </x:c>
      <x:c r="D13" s="26" t="n">
        <x:v>5</x:v>
      </x:c>
      <x:c r="E13" s="26" t="str">
        <x:v>100 nF</x:v>
      </x:c>
      <x:c r="F13" s="26" t="str">
        <x:v>0402</x:v>
      </x:c>
      <x:c r="G13" s="26" t="str">
        <x:v>16 V, X7R, ±10%</x:v>
      </x:c>
      <x:c r="H13" s="26" t="str">
        <x:v>YAGEO</x:v>
      </x:c>
      <x:c r="I13" s="26" t="str">
        <x:v>CC0402KRX7R7BB104</x:v>
      </x:c>
      <x:c r="J13" s="26" t="str"/>
      <x:c r="K13" s="23" t="str">
        <x:v>https://www.digikey.com/en/products/result?keywords=CC0402KRX7R7BB104</x:v>
      </x:c>
      <x:c r="L13" s="26" t="str">
        <x:v>Check live DigiKey stock</x:v>
      </x:c>
      <x:c r="M13" s="27" t="n">
        <x:f>D13*'Assumptions &amp; Notes'!$B$5</x:f>
        <x:v>5</x:v>
      </x:c>
      <x:c r="N13" s="29" t="n">
        <x:f>'Assumptions &amp; Notes'!$B$6</x:f>
        <x:v>0.2</x:v>
      </x:c>
      <x:c r="O13" s="27" t="n">
        <x:f>IF(A13="YES",ROUNDUP(M13*(1+N13),0),0)</x:f>
        <x:v>6</x:v>
      </x:c>
      <x:c r="P13" s="30"/>
      <x:c r="Q13" s="31" t="str">
        <x:f>IF(P13="","",O13*P13)</x:f>
      </x:c>
      <x:c r="R13" s="28" t="str">
        <x:v>Not checked</x:v>
      </x:c>
      <x:c r="S13" s="28"/>
      <x:c r="T13" s="26" t="str">
        <x:f>IF(A13&lt;&gt;"YES","HOLD",IF(R13="Received",IF(S13&gt;=O13,"OK","SHORT"),"PENDING"))</x:f>
        <x:v>PENDING</x:v>
      </x:c>
      <x:c r="U13" s="26" t="str"/>
    </x:row>
    <x:row r="14" ht="48" customHeight="1">
      <x:c r="A14" s="26" t="str">
        <x:v>YES</x:v>
      </x:c>
      <x:c r="B14" s="26" t="str">
        <x:v>Capacitor</x:v>
      </x:c>
      <x:c r="C14" s="26" t="str">
        <x:v>C53,C54</x:v>
      </x:c>
      <x:c r="D14" s="26" t="n">
        <x:v>2</x:v>
      </x:c>
      <x:c r="E14" s="26" t="str">
        <x:v>100 nF</x:v>
      </x:c>
      <x:c r="F14" s="26" t="str">
        <x:v>0402</x:v>
      </x:c>
      <x:c r="G14" s="26" t="str">
        <x:v>50 V, X7R, ±10%</x:v>
      </x:c>
      <x:c r="H14" s="26" t="str">
        <x:v>YAGEO</x:v>
      </x:c>
      <x:c r="I14" s="26" t="str">
        <x:v>CC0402KRX7R9BB104</x:v>
      </x:c>
      <x:c r="J14" s="26" t="str"/>
      <x:c r="K14" s="23" t="str">
        <x:v>https://www.digikey.com/en/products/result?keywords=CC0402KRX7R9BB104</x:v>
      </x:c>
      <x:c r="L14" s="26" t="str">
        <x:v>Check live DigiKey stock</x:v>
      </x:c>
      <x:c r="M14" s="27" t="n">
        <x:f>D14*'Assumptions &amp; Notes'!$B$5</x:f>
        <x:v>2</x:v>
      </x:c>
      <x:c r="N14" s="29" t="n">
        <x:f>'Assumptions &amp; Notes'!$B$6</x:f>
        <x:v>0.2</x:v>
      </x:c>
      <x:c r="O14" s="27" t="n">
        <x:f>IF(A14="YES",ROUNDUP(M14*(1+N14),0),0)</x:f>
        <x:v>3</x:v>
      </x:c>
      <x:c r="P14" s="30"/>
      <x:c r="Q14" s="31" t="str">
        <x:f>IF(P14="","",O14*P14)</x:f>
      </x:c>
      <x:c r="R14" s="28" t="str">
        <x:v>Not checked</x:v>
      </x:c>
      <x:c r="S14" s="28"/>
      <x:c r="T14" s="26" t="str">
        <x:f>IF(A14&lt;&gt;"YES","HOLD",IF(R14="Received",IF(S14&gt;=O14,"OK","SHORT"),"PENDING"))</x:f>
        <x:v>PENDING</x:v>
      </x:c>
      <x:c r="U14" s="26" t="str">
        <x:v>Kept separate from the 16 V group because these parts sit on PVIN (up to 24 V).</x:v>
      </x:c>
    </x:row>
    <x:row r="15" ht="48" customHeight="1">
      <x:c r="A15" s="26" t="str">
        <x:v>YES</x:v>
      </x:c>
      <x:c r="B15" s="26" t="str">
        <x:v>Capacitor</x:v>
      </x:c>
      <x:c r="C15" s="26" t="str">
        <x:v>C27</x:v>
      </x:c>
      <x:c r="D15" s="26" t="n">
        <x:v>1</x:v>
      </x:c>
      <x:c r="E15" s="26" t="str">
        <x:v>4.7 µF</x:v>
      </x:c>
      <x:c r="F15" s="26" t="str">
        <x:v>0805</x:v>
      </x:c>
      <x:c r="G15" s="26" t="str">
        <x:v>25 V, X5R, ±10%</x:v>
      </x:c>
      <x:c r="H15" s="26" t="str">
        <x:v>Samsung Electro-Mechanics</x:v>
      </x:c>
      <x:c r="I15" s="26" t="str">
        <x:v>CL21A475KAQNNNE</x:v>
      </x:c>
      <x:c r="J15" s="26" t="str"/>
      <x:c r="K15" s="23" t="str">
        <x:v>https://www.digikey.com/en/products/result?keywords=CL21A475KAQNNNE</x:v>
      </x:c>
      <x:c r="L15" s="26" t="str">
        <x:v>Check live DigiKey stock</x:v>
      </x:c>
      <x:c r="M15" s="27" t="n">
        <x:f>D15*'Assumptions &amp; Notes'!$B$5</x:f>
        <x:v>1</x:v>
      </x:c>
      <x:c r="N15" s="29" t="n">
        <x:f>'Assumptions &amp; Notes'!$B$6</x:f>
        <x:v>0.2</x:v>
      </x:c>
      <x:c r="O15" s="27" t="n">
        <x:f>IF(A15="YES",ROUNDUP(M15*(1+N15),0),0)</x:f>
        <x:v>2</x:v>
      </x:c>
      <x:c r="P15" s="30"/>
      <x:c r="Q15" s="31" t="str">
        <x:f>IF(P15="","",O15*P15)</x:f>
      </x:c>
      <x:c r="R15" s="28" t="str">
        <x:v>Not checked</x:v>
      </x:c>
      <x:c r="S15" s="28"/>
      <x:c r="T15" s="26" t="str">
        <x:f>IF(A15&lt;&gt;"YES","HOLD",IF(R15="Received",IF(S15&gt;=O15,"OK","SHORT"),"PENDING"))</x:f>
        <x:v>PENDING</x:v>
      </x:c>
      <x:c r="U15" s="26" t="str"/>
    </x:row>
    <x:row r="16" ht="48" customHeight="1">
      <x:c r="A16" s="26" t="str">
        <x:v>YES</x:v>
      </x:c>
      <x:c r="B16" s="26" t="str">
        <x:v>Capacitor</x:v>
      </x:c>
      <x:c r="C16" s="26" t="str">
        <x:v>C29</x:v>
      </x:c>
      <x:c r="D16" s="26" t="n">
        <x:v>1</x:v>
      </x:c>
      <x:c r="E16" s="26" t="str">
        <x:v>22 µF</x:v>
      </x:c>
      <x:c r="F16" s="26" t="str">
        <x:v>0805</x:v>
      </x:c>
      <x:c r="G16" s="26" t="str">
        <x:v>25 V, X5R, ±20%</x:v>
      </x:c>
      <x:c r="H16" s="26" t="str">
        <x:v>YAGEO</x:v>
      </x:c>
      <x:c r="I16" s="26" t="str">
        <x:v>CC0805MKX5R8BB226</x:v>
      </x:c>
      <x:c r="J16" s="26" t="str"/>
      <x:c r="K16" s="23" t="str">
        <x:v>https://www.digikey.com/en/products/result?keywords=CC0805MKX5R8BB226</x:v>
      </x:c>
      <x:c r="L16" s="26" t="str">
        <x:v>Check live DigiKey stock</x:v>
      </x:c>
      <x:c r="M16" s="27" t="n">
        <x:f>D16*'Assumptions &amp; Notes'!$B$5</x:f>
        <x:v>1</x:v>
      </x:c>
      <x:c r="N16" s="29" t="n">
        <x:f>'Assumptions &amp; Notes'!$B$6</x:f>
        <x:v>0.2</x:v>
      </x:c>
      <x:c r="O16" s="27" t="n">
        <x:f>IF(A16="YES",ROUNDUP(M16*(1+N16),0),0)</x:f>
        <x:v>2</x:v>
      </x:c>
      <x:c r="P16" s="30"/>
      <x:c r="Q16" s="31" t="str">
        <x:f>IF(P16="","",O16*P16)</x:f>
      </x:c>
      <x:c r="R16" s="28" t="str">
        <x:v>Not checked</x:v>
      </x:c>
      <x:c r="S16" s="28"/>
      <x:c r="T16" s="26" t="str">
        <x:f>IF(A16&lt;&gt;"YES","HOLD",IF(R16="Received",IF(S16&gt;=O16,"OK","SHORT"),"PENDING"))</x:f>
        <x:v>PENDING</x:v>
      </x:c>
      <x:c r="U16" s="26" t="str"/>
    </x:row>
    <x:row r="17" ht="48" customHeight="1">
      <x:c r="A17" s="26" t="str">
        <x:v>YES</x:v>
      </x:c>
      <x:c r="B17" s="26" t="str">
        <x:v>Capacitor</x:v>
      </x:c>
      <x:c r="C17" s="26" t="str">
        <x:v>C3</x:v>
      </x:c>
      <x:c r="D17" s="26" t="n">
        <x:v>1</x:v>
      </x:c>
      <x:c r="E17" s="26" t="str">
        <x:v>1 nF</x:v>
      </x:c>
      <x:c r="F17" s="26" t="str">
        <x:v>0603</x:v>
      </x:c>
      <x:c r="G17" s="26" t="str">
        <x:v>50 V, X7R, ±10%</x:v>
      </x:c>
      <x:c r="H17" s="26" t="str">
        <x:v>YAGEO</x:v>
      </x:c>
      <x:c r="I17" s="26" t="str">
        <x:v>CC0603KRX7R9BB102</x:v>
      </x:c>
      <x:c r="J17" s="26" t="str">
        <x:v>311-1080-1-ND</x:v>
      </x:c>
      <x:c r="K17" s="23" t="str">
        <x:v>https://www.digikey.com/en/products/detail/yageo/CC0603KRX7R9BB102/302990</x:v>
      </x:c>
      <x:c r="L17" s="26" t="str">
        <x:v>Check live DigiKey stock</x:v>
      </x:c>
      <x:c r="M17" s="27" t="n">
        <x:f>D17*'Assumptions &amp; Notes'!$B$5</x:f>
        <x:v>1</x:v>
      </x:c>
      <x:c r="N17" s="29" t="n">
        <x:f>'Assumptions &amp; Notes'!$B$6</x:f>
        <x:v>0.2</x:v>
      </x:c>
      <x:c r="O17" s="27" t="n">
        <x:f>IF(A17="YES",ROUNDUP(M17*(1+N17),0),0)</x:f>
        <x:v>2</x:v>
      </x:c>
      <x:c r="P17" s="30"/>
      <x:c r="Q17" s="31" t="str">
        <x:f>IF(P17="","",O17*P17)</x:f>
      </x:c>
      <x:c r="R17" s="28" t="str">
        <x:v>Not checked</x:v>
      </x:c>
      <x:c r="S17" s="28"/>
      <x:c r="T17" s="26" t="str">
        <x:f>IF(A17&lt;&gt;"YES","HOLD",IF(R17="Received",IF(S17&gt;=O17,"OK","SHORT"),"PENDING"))</x:f>
        <x:v>PENDING</x:v>
      </x:c>
      <x:c r="U17" s="26" t="str"/>
    </x:row>
    <x:row r="18" ht="48" customHeight="1">
      <x:c r="A18" s="26" t="str">
        <x:v>YES</x:v>
      </x:c>
      <x:c r="B18" s="26" t="str">
        <x:v>Capacitor</x:v>
      </x:c>
      <x:c r="C18" s="26" t="str">
        <x:v>C52</x:v>
      </x:c>
      <x:c r="D18" s="26" t="n">
        <x:v>1</x:v>
      </x:c>
      <x:c r="E18" s="26" t="str">
        <x:v>1 nF</x:v>
      </x:c>
      <x:c r="F18" s="26" t="str">
        <x:v>0603</x:v>
      </x:c>
      <x:c r="G18" s="26" t="str">
        <x:v>100 V, X7R, ±10%</x:v>
      </x:c>
      <x:c r="H18" s="26" t="str">
        <x:v>YAGEO</x:v>
      </x:c>
      <x:c r="I18" s="26" t="str">
        <x:v>CC0603KRX7R0BB102</x:v>
      </x:c>
      <x:c r="J18" s="26" t="str">
        <x:v>311-1467-1-ND</x:v>
      </x:c>
      <x:c r="K18" s="23" t="str">
        <x:v>https://www.digikey.com/en/products/detail/yageo/CC0603KRX7R0BB102/2833632</x:v>
      </x:c>
      <x:c r="L18" s="26" t="str">
        <x:v>DigiKey listed; recheck stock at order time</x:v>
      </x:c>
      <x:c r="M18" s="27" t="n">
        <x:f>D18*'Assumptions &amp; Notes'!$B$5</x:f>
        <x:v>1</x:v>
      </x:c>
      <x:c r="N18" s="29" t="n">
        <x:f>'Assumptions &amp; Notes'!$B$6</x:f>
        <x:v>0.2</x:v>
      </x:c>
      <x:c r="O18" s="27" t="n">
        <x:f>IF(A18="YES",ROUNDUP(M18*(1+N18),0),0)</x:f>
        <x:v>2</x:v>
      </x:c>
      <x:c r="P18" s="30"/>
      <x:c r="Q18" s="31" t="str">
        <x:f>IF(P18="","",O18*P18)</x:f>
      </x:c>
      <x:c r="R18" s="28" t="str">
        <x:v>Not checked</x:v>
      </x:c>
      <x:c r="S18" s="28"/>
      <x:c r="T18" s="26" t="str">
        <x:f>IF(A18&lt;&gt;"YES","HOLD",IF(R18="Received",IF(S18&gt;=O18,"OK","SHORT"),"PENDING"))</x:f>
        <x:v>PENDING</x:v>
      </x:c>
      <x:c r="U18" s="26" t="str">
        <x:v>Do not combine with C3: this reference needs the 100 V rating.</x:v>
      </x:c>
    </x:row>
    <x:row r="19" ht="48" customHeight="1">
      <x:c r="A19" s="26" t="str">
        <x:v>YES</x:v>
      </x:c>
      <x:c r="B19" s="26" t="str">
        <x:v>Capacitor</x:v>
      </x:c>
      <x:c r="C19" s="26" t="str">
        <x:v>C30</x:v>
      </x:c>
      <x:c r="D19" s="26" t="n">
        <x:v>1</x:v>
      </x:c>
      <x:c r="E19" s="26" t="str">
        <x:v>22 µF</x:v>
      </x:c>
      <x:c r="F19" s="26" t="str">
        <x:v>0603</x:v>
      </x:c>
      <x:c r="G19" s="26" t="str">
        <x:v>6.3 V, X5R, ±20%</x:v>
      </x:c>
      <x:c r="H19" s="26" t="str">
        <x:v>Samsung Electro-Mechanics</x:v>
      </x:c>
      <x:c r="I19" s="26" t="str">
        <x:v>CL10A226MQ8NRNC</x:v>
      </x:c>
      <x:c r="J19" s="26" t="str"/>
      <x:c r="K19" s="23" t="str">
        <x:v>https://www.digikey.com/en/products/result?keywords=CL10A226MQ8NRNC</x:v>
      </x:c>
      <x:c r="L19" s="26" t="str">
        <x:v>Check live DigiKey stock</x:v>
      </x:c>
      <x:c r="M19" s="27" t="n">
        <x:f>D19*'Assumptions &amp; Notes'!$B$5</x:f>
        <x:v>1</x:v>
      </x:c>
      <x:c r="N19" s="29" t="n">
        <x:f>'Assumptions &amp; Notes'!$B$6</x:f>
        <x:v>0.2</x:v>
      </x:c>
      <x:c r="O19" s="27" t="n">
        <x:f>IF(A19="YES",ROUNDUP(M19*(1+N19),0),0)</x:f>
        <x:v>2</x:v>
      </x:c>
      <x:c r="P19" s="30"/>
      <x:c r="Q19" s="31" t="str">
        <x:f>IF(P19="","",O19*P19)</x:f>
      </x:c>
      <x:c r="R19" s="28" t="str">
        <x:v>Not checked</x:v>
      </x:c>
      <x:c r="S19" s="28"/>
      <x:c r="T19" s="26" t="str">
        <x:f>IF(A19&lt;&gt;"YES","HOLD",IF(R19="Received",IF(S19&gt;=O19,"OK","SHORT"),"PENDING"))</x:f>
        <x:v>PENDING</x:v>
      </x:c>
      <x:c r="U19" s="26" t="str">
        <x:v>Check effective capacitance under DC bias; use only on its low-voltage rail.</x:v>
      </x:c>
    </x:row>
    <x:row r="20" ht="48" customHeight="1">
      <x:c r="A20" s="26" t="str">
        <x:v>YES</x:v>
      </x:c>
      <x:c r="B20" s="26" t="str">
        <x:v>Capacitor</x:v>
      </x:c>
      <x:c r="C20" s="26" t="str">
        <x:v>C34,C35,C36,C37,C38</x:v>
      </x:c>
      <x:c r="D20" s="26" t="n">
        <x:v>5</x:v>
      </x:c>
      <x:c r="E20" s="26" t="str">
        <x:v>100 nF</x:v>
      </x:c>
      <x:c r="F20" s="26" t="str">
        <x:v>1206</x:v>
      </x:c>
      <x:c r="G20" s="26" t="str">
        <x:v>100 V, C0G/NP0, ±5%</x:v>
      </x:c>
      <x:c r="H20" s="26" t="str">
        <x:v>Murata</x:v>
      </x:c>
      <x:c r="I20" s="26" t="str">
        <x:v>GRM31C5C2A104JA01L</x:v>
      </x:c>
      <x:c r="J20" s="26" t="str">
        <x:v>490-16315-1-ND</x:v>
      </x:c>
      <x:c r="K20" s="23" t="str">
        <x:v>https://www.digikey.com/en/products/detail/murata-electronics/GRM31C5C2A104JA01L/7363059</x:v>
      </x:c>
      <x:c r="L20" s="26" t="str">
        <x:v>DigiKey listed; recheck stock at order time</x:v>
      </x:c>
      <x:c r="M20" s="27" t="n">
        <x:f>D20*'Assumptions &amp; Notes'!$B$5</x:f>
        <x:v>5</x:v>
      </x:c>
      <x:c r="N20" s="29" t="n">
        <x:f>'Assumptions &amp; Notes'!$B$6</x:f>
        <x:v>0.2</x:v>
      </x:c>
      <x:c r="O20" s="27" t="n">
        <x:f>IF(A20="YES",ROUNDUP(M20*(1+N20),0),0)</x:f>
        <x:v>6</x:v>
      </x:c>
      <x:c r="P20" s="30"/>
      <x:c r="Q20" s="31" t="str">
        <x:f>IF(P20="","",O20*P20)</x:f>
      </x:c>
      <x:c r="R20" s="28" t="str">
        <x:v>Not checked</x:v>
      </x:c>
      <x:c r="S20" s="28"/>
      <x:c r="T20" s="26" t="str">
        <x:f>IF(A20&lt;&gt;"YES","HOLD",IF(R20="Received",IF(S20&gt;=O20,"OK","SHORT"),"PENDING"))</x:f>
        <x:v>PENDING</x:v>
      </x:c>
      <x:c r="U20" s="26" t="str">
        <x:v>CRITICAL resonant/bridge capacitors: keep 100 V, C0G/NP0, ±5%, 1206 unless the design is revalidated.</x:v>
      </x:c>
    </x:row>
    <x:row r="21" ht="48" customHeight="1">
      <x:c r="A21" s="26" t="str">
        <x:v>YES</x:v>
      </x:c>
      <x:c r="B21" s="26" t="str">
        <x:v>Capacitor</x:v>
      </x:c>
      <x:c r="C21" s="26" t="str">
        <x:v>C4</x:v>
      </x:c>
      <x:c r="D21" s="26" t="n">
        <x:v>1</x:v>
      </x:c>
      <x:c r="E21" s="26" t="str">
        <x:v>470 nF</x:v>
      </x:c>
      <x:c r="F21" s="26" t="str">
        <x:v>0603</x:v>
      </x:c>
      <x:c r="G21" s="26" t="str">
        <x:v>25 V, X7R, ±10%</x:v>
      </x:c>
      <x:c r="H21" s="26" t="str">
        <x:v>Samsung Electro-Mechanics</x:v>
      </x:c>
      <x:c r="I21" s="26" t="str">
        <x:v>CL10B474KA8NNNC</x:v>
      </x:c>
      <x:c r="J21" s="26" t="str"/>
      <x:c r="K21" s="23" t="str">
        <x:v>https://www.digikey.com/en/products/result?keywords=CL10B474KA8NNNC</x:v>
      </x:c>
      <x:c r="L21" s="26" t="str">
        <x:v>Check live DigiKey stock</x:v>
      </x:c>
      <x:c r="M21" s="27" t="n">
        <x:f>D21*'Assumptions &amp; Notes'!$B$5</x:f>
        <x:v>1</x:v>
      </x:c>
      <x:c r="N21" s="29" t="n">
        <x:f>'Assumptions &amp; Notes'!$B$6</x:f>
        <x:v>0.2</x:v>
      </x:c>
      <x:c r="O21" s="27" t="n">
        <x:f>IF(A21="YES",ROUNDUP(M21*(1+N21),0),0)</x:f>
        <x:v>2</x:v>
      </x:c>
      <x:c r="P21" s="30"/>
      <x:c r="Q21" s="31" t="str">
        <x:f>IF(P21="","",O21*P21)</x:f>
      </x:c>
      <x:c r="R21" s="28" t="str">
        <x:v>Not checked</x:v>
      </x:c>
      <x:c r="S21" s="28"/>
      <x:c r="T21" s="26" t="str">
        <x:f>IF(A21&lt;&gt;"YES","HOLD",IF(R21="Received",IF(S21&gt;=O21,"OK","SHORT"),"PENDING"))</x:f>
        <x:v>PENDING</x:v>
      </x:c>
      <x:c r="U21" s="26" t="str"/>
    </x:row>
    <x:row r="22" ht="48" customHeight="1">
      <x:c r="A22" s="26" t="str">
        <x:v>YES</x:v>
      </x:c>
      <x:c r="B22" s="26" t="str">
        <x:v>Capacitor</x:v>
      </x:c>
      <x:c r="C22" s="26" t="str">
        <x:v>C44</x:v>
      </x:c>
      <x:c r="D22" s="26" t="n">
        <x:v>1</x:v>
      </x:c>
      <x:c r="E22" s="26" t="str">
        <x:v>1 µF</x:v>
      </x:c>
      <x:c r="F22" s="26" t="str">
        <x:v>0805</x:v>
      </x:c>
      <x:c r="G22" s="26" t="str">
        <x:v>50 V, X7R, ±10%</x:v>
      </x:c>
      <x:c r="H22" s="26" t="str">
        <x:v>Samsung Electro-Mechanics</x:v>
      </x:c>
      <x:c r="I22" s="26" t="str">
        <x:v>CL21B105KBFNNNE</x:v>
      </x:c>
      <x:c r="J22" s="26" t="str"/>
      <x:c r="K22" s="23" t="str">
        <x:v>https://www.digikey.com/en/products/result?keywords=CL21B105KBFNNNE</x:v>
      </x:c>
      <x:c r="L22" s="26" t="str">
        <x:v>Check live DigiKey stock</x:v>
      </x:c>
      <x:c r="M22" s="27" t="n">
        <x:f>D22*'Assumptions &amp; Notes'!$B$5</x:f>
        <x:v>1</x:v>
      </x:c>
      <x:c r="N22" s="29" t="n">
        <x:f>'Assumptions &amp; Notes'!$B$6</x:f>
        <x:v>0.2</x:v>
      </x:c>
      <x:c r="O22" s="27" t="n">
        <x:f>IF(A22="YES",ROUNDUP(M22*(1+N22),0),0)</x:f>
        <x:v>2</x:v>
      </x:c>
      <x:c r="P22" s="30"/>
      <x:c r="Q22" s="31" t="str">
        <x:f>IF(P22="","",O22*P22)</x:f>
      </x:c>
      <x:c r="R22" s="28" t="str">
        <x:v>Not checked</x:v>
      </x:c>
      <x:c r="S22" s="28"/>
      <x:c r="T22" s="26" t="str">
        <x:f>IF(A22&lt;&gt;"YES","HOLD",IF(R22="Received",IF(S22&gt;=O22,"OK","SHORT"),"PENDING"))</x:f>
        <x:v>PENDING</x:v>
      </x:c>
      <x:c r="U22" s="26" t="str"/>
    </x:row>
    <x:row r="23" ht="48" customHeight="1">
      <x:c r="A23" s="26" t="str">
        <x:v>YES</x:v>
      </x:c>
      <x:c r="B23" s="26" t="str">
        <x:v>Capacitor</x:v>
      </x:c>
      <x:c r="C23" s="26" t="str">
        <x:v>C47</x:v>
      </x:c>
      <x:c r="D23" s="26" t="n">
        <x:v>1</x:v>
      </x:c>
      <x:c r="E23" s="26" t="str">
        <x:v>470 nF</x:v>
      </x:c>
      <x:c r="F23" s="26" t="str">
        <x:v>0402</x:v>
      </x:c>
      <x:c r="G23" s="26" t="str">
        <x:v>10 V, X5R, ±10%</x:v>
      </x:c>
      <x:c r="H23" s="26" t="str">
        <x:v>Samsung Electro-Mechanics</x:v>
      </x:c>
      <x:c r="I23" s="26" t="str">
        <x:v>CL05A474KP5NNNC</x:v>
      </x:c>
      <x:c r="J23" s="26" t="str"/>
      <x:c r="K23" s="23" t="str">
        <x:v>https://www.digikey.com/en/products/result?keywords=CL05A474KP5NNNC</x:v>
      </x:c>
      <x:c r="L23" s="26" t="str">
        <x:v>Check live DigiKey stock</x:v>
      </x:c>
      <x:c r="M23" s="27" t="n">
        <x:f>D23*'Assumptions &amp; Notes'!$B$5</x:f>
        <x:v>1</x:v>
      </x:c>
      <x:c r="N23" s="29" t="n">
        <x:f>'Assumptions &amp; Notes'!$B$6</x:f>
        <x:v>0.2</x:v>
      </x:c>
      <x:c r="O23" s="27" t="n">
        <x:f>IF(A23="YES",ROUNDUP(M23*(1+N23),0),0)</x:f>
        <x:v>2</x:v>
      </x:c>
      <x:c r="P23" s="30"/>
      <x:c r="Q23" s="31" t="str">
        <x:f>IF(P23="","",O23*P23)</x:f>
      </x:c>
      <x:c r="R23" s="28" t="str">
        <x:v>Not checked</x:v>
      </x:c>
      <x:c r="S23" s="28"/>
      <x:c r="T23" s="26" t="str">
        <x:f>IF(A23&lt;&gt;"YES","HOLD",IF(R23="Received",IF(S23&gt;=O23,"OK","SHORT"),"PENDING"))</x:f>
        <x:v>PENDING</x:v>
      </x:c>
      <x:c r="U23" s="26" t="str"/>
    </x:row>
    <x:row r="24" ht="48" customHeight="1">
      <x:c r="A24" s="26" t="str">
        <x:v>YES</x:v>
      </x:c>
      <x:c r="B24" s="26" t="str">
        <x:v>Capacitor</x:v>
      </x:c>
      <x:c r="C24" s="26" t="str">
        <x:v>C51</x:v>
      </x:c>
      <x:c r="D24" s="26" t="n">
        <x:v>1</x:v>
      </x:c>
      <x:c r="E24" s="26" t="str">
        <x:v>5.6 nF</x:v>
      </x:c>
      <x:c r="F24" s="26" t="str">
        <x:v>0603</x:v>
      </x:c>
      <x:c r="G24" s="26" t="str">
        <x:v>100 V, C0G/NP0, ±5%</x:v>
      </x:c>
      <x:c r="H24" s="26" t="str">
        <x:v>TDK</x:v>
      </x:c>
      <x:c r="I24" s="26" t="str">
        <x:v>C1608C0G2A562J080AC</x:v>
      </x:c>
      <x:c r="J24" s="26" t="str">
        <x:v>445-172659-1-ND</x:v>
      </x:c>
      <x:c r="K24" s="23" t="str">
        <x:v>https://www.digikey.com/en/products/detail/tdk/C1608C0G2A562J080AC/5023337</x:v>
      </x:c>
      <x:c r="L24" s="26" t="str">
        <x:v>DigiKey listed; recheck stock at order time</x:v>
      </x:c>
      <x:c r="M24" s="27" t="n">
        <x:f>D24*'Assumptions &amp; Notes'!$B$5</x:f>
        <x:v>1</x:v>
      </x:c>
      <x:c r="N24" s="29" t="n">
        <x:f>'Assumptions &amp; Notes'!$B$6</x:f>
        <x:v>0.2</x:v>
      </x:c>
      <x:c r="O24" s="27" t="n">
        <x:f>IF(A24="YES",ROUNDUP(M24*(1+N24),0),0)</x:f>
        <x:v>2</x:v>
      </x:c>
      <x:c r="P24" s="30"/>
      <x:c r="Q24" s="31" t="str">
        <x:f>IF(P24="","",O24*P24)</x:f>
      </x:c>
      <x:c r="R24" s="28" t="str">
        <x:v>Not checked</x:v>
      </x:c>
      <x:c r="S24" s="28"/>
      <x:c r="T24" s="26" t="str">
        <x:f>IF(A24&lt;&gt;"YES","HOLD",IF(R24="Received",IF(S24&gt;=O24,"OK","SHORT"),"PENDING"))</x:f>
        <x:v>PENDING</x:v>
      </x:c>
      <x:c r="U24" s="26" t="str">
        <x:v>CRITICAL: the original generic match was 50 V X7R; buy this 100 V C0G part instead.</x:v>
      </x:c>
    </x:row>
    <x:row r="25" ht="48" customHeight="1">
      <x:c r="A25" s="26" t="str">
        <x:v>YES</x:v>
      </x:c>
      <x:c r="B25" s="26" t="str">
        <x:v>Capacitor</x:v>
      </x:c>
      <x:c r="C25" s="26" t="str">
        <x:v>C56,C58</x:v>
      </x:c>
      <x:c r="D25" s="26" t="n">
        <x:v>2</x:v>
      </x:c>
      <x:c r="E25" s="26" t="str">
        <x:v>1 µF</x:v>
      </x:c>
      <x:c r="F25" s="26" t="str">
        <x:v>0402</x:v>
      </x:c>
      <x:c r="G25" s="26" t="str">
        <x:v>25 V, X5R, ±10%</x:v>
      </x:c>
      <x:c r="H25" s="26" t="str">
        <x:v>Samsung Electro-Mechanics</x:v>
      </x:c>
      <x:c r="I25" s="26" t="str">
        <x:v>CL05A105KA5NQNC</x:v>
      </x:c>
      <x:c r="J25" s="26" t="str"/>
      <x:c r="K25" s="23" t="str">
        <x:v>https://www.digikey.com/en/products/result?keywords=CL05A105KA5NQNC</x:v>
      </x:c>
      <x:c r="L25" s="26" t="str">
        <x:v>Check live DigiKey stock</x:v>
      </x:c>
      <x:c r="M25" s="27" t="n">
        <x:f>D25*'Assumptions &amp; Notes'!$B$5</x:f>
        <x:v>2</x:v>
      </x:c>
      <x:c r="N25" s="29" t="n">
        <x:f>'Assumptions &amp; Notes'!$B$6</x:f>
        <x:v>0.2</x:v>
      </x:c>
      <x:c r="O25" s="27" t="n">
        <x:f>IF(A25="YES",ROUNDUP(M25*(1+N25),0),0)</x:f>
        <x:v>3</x:v>
      </x:c>
      <x:c r="P25" s="30"/>
      <x:c r="Q25" s="31" t="str">
        <x:f>IF(P25="","",O25*P25)</x:f>
      </x:c>
      <x:c r="R25" s="28" t="str">
        <x:v>Not checked</x:v>
      </x:c>
      <x:c r="S25" s="28"/>
      <x:c r="T25" s="26" t="str">
        <x:f>IF(A25&lt;&gt;"YES","HOLD",IF(R25="Received",IF(S25&gt;=O25,"OK","SHORT"),"PENDING"))</x:f>
        <x:v>PENDING</x:v>
      </x:c>
      <x:c r="U25" s="26" t="str"/>
    </x:row>
    <x:row r="26" ht="48" customHeight="1">
      <x:c r="A26" s="26" t="str">
        <x:v>YES</x:v>
      </x:c>
      <x:c r="B26" s="26" t="str">
        <x:v>LED</x:v>
      </x:c>
      <x:c r="C26" s="26" t="str">
        <x:v>D1,D2</x:v>
      </x:c>
      <x:c r="D26" s="26" t="n">
        <x:v>2</x:v>
      </x:c>
      <x:c r="E26" s="26" t="str">
        <x:v>Red LED</x:v>
      </x:c>
      <x:c r="F26" s="26" t="str">
        <x:v>0201 (0603 metric)</x:v>
      </x:c>
      <x:c r="G26" s="26" t="str">
        <x:v>Red, ~2 V, low-current indicator</x:v>
      </x:c>
      <x:c r="H26" s="26" t="str">
        <x:v>Kingbright</x:v>
      </x:c>
      <x:c r="I26" s="26" t="str">
        <x:v>APG0201SURC-TT</x:v>
      </x:c>
      <x:c r="J26" s="26" t="str">
        <x:v>754-APG0201SURC-TTCT-ND</x:v>
      </x:c>
      <x:c r="K26" s="23" t="str">
        <x:v>https://www.digikey.com/en/products/detail/kingbright/APG0201SURC-TT/27491892</x:v>
      </x:c>
      <x:c r="L26" s="26" t="str">
        <x:v>DigiKey listed; recheck stock at order time</x:v>
      </x:c>
      <x:c r="M26" s="27" t="n">
        <x:f>D26*'Assumptions &amp; Notes'!$B$5</x:f>
        <x:v>2</x:v>
      </x:c>
      <x:c r="N26" s="29" t="n">
        <x:f>'Assumptions &amp; Notes'!$B$7</x:f>
        <x:v>0.1</x:v>
      </x:c>
      <x:c r="O26" s="27" t="n">
        <x:f>IF(A26="YES",ROUNDUP(M26*(1+N26),0),0)</x:f>
        <x:v>3</x:v>
      </x:c>
      <x:c r="P26" s="30"/>
      <x:c r="Q26" s="31" t="str">
        <x:f>IF(P26="","",O26*P26)</x:f>
      </x:c>
      <x:c r="R26" s="28" t="str">
        <x:v>Not checked</x:v>
      </x:c>
      <x:c r="S26" s="28"/>
      <x:c r="T26" s="26" t="str">
        <x:f>IF(A26&lt;&gt;"YES","HOLD",IF(R26="Received",IF(S26&gt;=O26,"OK","SHORT"),"PENDING"))</x:f>
        <x:v>PENDING</x:v>
      </x:c>
      <x:c r="U26" s="26" t="str">
        <x:v>Physical size is 0201 imperial. Do not substitute the larger 0402 SML-P11 series.</x:v>
      </x:c>
    </x:row>
    <x:row r="27" ht="48" customHeight="1">
      <x:c r="A27" s="26" t="str">
        <x:v>YES</x:v>
      </x:c>
      <x:c r="B27" s="26" t="str">
        <x:v>Diode</x:v>
      </x:c>
      <x:c r="C27" s="26" t="str">
        <x:v>D8,D9,D10,D11</x:v>
      </x:c>
      <x:c r="D27" s="26" t="n">
        <x:v>4</x:v>
      </x:c>
      <x:c r="E27" s="26" t="str">
        <x:v>Schottky diode</x:v>
      </x:c>
      <x:c r="F27" s="26" t="str">
        <x:v>SOD-523</x:v>
      </x:c>
      <x:c r="G27" s="26" t="str">
        <x:v>40 V, 100 mA</x:v>
      </x:c>
      <x:c r="H27" s="26" t="str">
        <x:v>ROHM</x:v>
      </x:c>
      <x:c r="I27" s="26" t="str">
        <x:v>RB511SM-40FHT2R</x:v>
      </x:c>
      <x:c r="J27" s="26" t="str"/>
      <x:c r="K27" s="23" t="str">
        <x:v>https://www.digikey.com/en/products/result?keywords=RB511SM-40FHT2R</x:v>
      </x:c>
      <x:c r="L27" s="26" t="str">
        <x:v>Check live DigiKey stock</x:v>
      </x:c>
      <x:c r="M27" s="27" t="n">
        <x:f>D27*'Assumptions &amp; Notes'!$B$5</x:f>
        <x:v>4</x:v>
      </x:c>
      <x:c r="N27" s="29" t="n">
        <x:f>'Assumptions &amp; Notes'!$B$7</x:f>
        <x:v>0.1</x:v>
      </x:c>
      <x:c r="O27" s="27" t="n">
        <x:f>IF(A27="YES",ROUNDUP(M27*(1+N27),0),0)</x:f>
        <x:v>5</x:v>
      </x:c>
      <x:c r="P27" s="30"/>
      <x:c r="Q27" s="31" t="str">
        <x:f>IF(P27="","",O27*P27)</x:f>
      </x:c>
      <x:c r="R27" s="28" t="str">
        <x:v>Not checked</x:v>
      </x:c>
      <x:c r="S27" s="28"/>
      <x:c r="T27" s="26" t="str">
        <x:f>IF(A27&lt;&gt;"YES","HOLD",IF(R27="Received",IF(S27&gt;=O27,"OK","SHORT"),"PENDING"))</x:f>
        <x:v>PENDING</x:v>
      </x:c>
      <x:c r="U27" s="26" t="str">
        <x:v>Keep the same SOD-523 footprint and polarity.</x:v>
      </x:c>
    </x:row>
    <x:row r="28" ht="48" customHeight="1">
      <x:c r="A28" s="26" t="str">
        <x:v>YES</x:v>
      </x:c>
      <x:c r="B28" s="26" t="str">
        <x:v>Diode</x:v>
      </x:c>
      <x:c r="C28" s="26" t="str">
        <x:v>D12</x:v>
      </x:c>
      <x:c r="D28" s="26" t="n">
        <x:v>1</x:v>
      </x:c>
      <x:c r="E28" s="26" t="str">
        <x:v>Switching diode</x:v>
      </x:c>
      <x:c r="F28" s="26" t="str">
        <x:v>SOD-123</x:v>
      </x:c>
      <x:c r="G28" s="26" t="str">
        <x:v>100 V, fast switching</x:v>
      </x:c>
      <x:c r="H28" s="26" t="str">
        <x:v>Micro Commercial</x:v>
      </x:c>
      <x:c r="I28" s="26" t="str">
        <x:v>1N4448W-TP</x:v>
      </x:c>
      <x:c r="J28" s="26" t="str"/>
      <x:c r="K28" s="23" t="str">
        <x:v>https://www.digikey.com/en/products/result?keywords=1N4448W-TP</x:v>
      </x:c>
      <x:c r="L28" s="26" t="str">
        <x:v>Check live DigiKey stock</x:v>
      </x:c>
      <x:c r="M28" s="27" t="n">
        <x:f>D28*'Assumptions &amp; Notes'!$B$5</x:f>
        <x:v>1</x:v>
      </x:c>
      <x:c r="N28" s="29" t="n">
        <x:f>'Assumptions &amp; Notes'!$B$7</x:f>
        <x:v>0.1</x:v>
      </x:c>
      <x:c r="O28" s="27" t="n">
        <x:f>IF(A28="YES",ROUNDUP(M28*(1+N28),0),0)</x:f>
        <x:v>2</x:v>
      </x:c>
      <x:c r="P28" s="30"/>
      <x:c r="Q28" s="31" t="str">
        <x:f>IF(P28="","",O28*P28)</x:f>
      </x:c>
      <x:c r="R28" s="28" t="str">
        <x:v>Not checked</x:v>
      </x:c>
      <x:c r="S28" s="28"/>
      <x:c r="T28" s="26" t="str">
        <x:f>IF(A28&lt;&gt;"YES","HOLD",IF(R28="Received",IF(S28&gt;=O28,"OK","SHORT"),"PENDING"))</x:f>
        <x:v>PENDING</x:v>
      </x:c>
      <x:c r="U28" s="26" t="str">
        <x:v>Confirm cathode orientation during assembly.</x:v>
      </x:c>
    </x:row>
    <x:row r="29" ht="48" customHeight="1">
      <x:c r="A29" s="26" t="str">
        <x:v>YES</x:v>
      </x:c>
      <x:c r="B29" s="26" t="str">
        <x:v>Diode array</x:v>
      </x:c>
      <x:c r="C29" s="26" t="str">
        <x:v>D13</x:v>
      </x:c>
      <x:c r="D29" s="26" t="n">
        <x:v>1</x:v>
      </x:c>
      <x:c r="E29" s="26" t="str">
        <x:v>Dual switching diode</x:v>
      </x:c>
      <x:c r="F29" s="26" t="str">
        <x:v>SOT-23</x:v>
      </x:c>
      <x:c r="G29" s="26" t="str">
        <x:v>Series-connected pair</x:v>
      </x:c>
      <x:c r="H29" s="26" t="str">
        <x:v>onsemi</x:v>
      </x:c>
      <x:c r="I29" s="26" t="str">
        <x:v>MMBD1503A</x:v>
      </x:c>
      <x:c r="J29" s="26" t="str"/>
      <x:c r="K29" s="23" t="str">
        <x:v>https://www.digikey.com/en/products/result?keywords=MMBD1503A</x:v>
      </x:c>
      <x:c r="L29" s="26" t="str">
        <x:v>Check live DigiKey stock</x:v>
      </x:c>
      <x:c r="M29" s="27" t="n">
        <x:f>D29*'Assumptions &amp; Notes'!$B$5</x:f>
        <x:v>1</x:v>
      </x:c>
      <x:c r="N29" s="29" t="n">
        <x:f>'Assumptions &amp; Notes'!$B$7</x:f>
        <x:v>0.1</x:v>
      </x:c>
      <x:c r="O29" s="27" t="n">
        <x:f>IF(A29="YES",ROUNDUP(M29*(1+N29),0),0)</x:f>
        <x:v>2</x:v>
      </x:c>
      <x:c r="P29" s="30"/>
      <x:c r="Q29" s="31" t="str">
        <x:f>IF(P29="","",O29*P29)</x:f>
      </x:c>
      <x:c r="R29" s="28" t="str">
        <x:v>Not checked</x:v>
      </x:c>
      <x:c r="S29" s="28"/>
      <x:c r="T29" s="26" t="str">
        <x:f>IF(A29&lt;&gt;"YES","HOLD",IF(R29="Received",IF(S29&gt;=O29,"OK","SHORT"),"PENDING"))</x:f>
        <x:v>PENDING</x:v>
      </x:c>
      <x:c r="U29" s="26" t="str">
        <x:v>Do not replace with an arbitrary dual diode: topology/pinout must match.</x:v>
      </x:c>
    </x:row>
    <x:row r="30" ht="48" customHeight="1">
      <x:c r="A30" s="26" t="str">
        <x:v>YES</x:v>
      </x:c>
      <x:c r="B30" s="26" t="str">
        <x:v>Diode</x:v>
      </x:c>
      <x:c r="C30" s="26" t="str">
        <x:v>D7</x:v>
      </x:c>
      <x:c r="D30" s="26" t="n">
        <x:v>1</x:v>
      </x:c>
      <x:c r="E30" s="26" t="str">
        <x:v>Schottky diode</x:v>
      </x:c>
      <x:c r="F30" s="26" t="str">
        <x:v>SOD-523</x:v>
      </x:c>
      <x:c r="G30" s="26" t="str">
        <x:v>30 V class, low leakage</x:v>
      </x:c>
      <x:c r="H30" s="26" t="str">
        <x:v>Diodes Incorporated</x:v>
      </x:c>
      <x:c r="I30" s="26" t="str">
        <x:v>BAT64T5Q-7-F</x:v>
      </x:c>
      <x:c r="J30" s="26" t="str">
        <x:v>31-BAT64T5Q-7-FCT-ND</x:v>
      </x:c>
      <x:c r="K30" s="23" t="str">
        <x:v>https://www.digikey.com/en/products/detail/diodes-incorporated/BAT64T5Q-7-F/10674161</x:v>
      </x:c>
      <x:c r="L30" s="26" t="str">
        <x:v>DigiKey listed; recheck stock at order time</x:v>
      </x:c>
      <x:c r="M30" s="27" t="n">
        <x:f>D30*'Assumptions &amp; Notes'!$B$5</x:f>
        <x:v>1</x:v>
      </x:c>
      <x:c r="N30" s="29" t="n">
        <x:f>'Assumptions &amp; Notes'!$B$7</x:f>
        <x:v>0.1</x:v>
      </x:c>
      <x:c r="O30" s="27" t="n">
        <x:f>IF(A30="YES",ROUNDUP(M30*(1+N30),0),0)</x:f>
        <x:v>2</x:v>
      </x:c>
      <x:c r="P30" s="30"/>
      <x:c r="Q30" s="31" t="str">
        <x:f>IF(P30="","",O30*P30)</x:f>
      </x:c>
      <x:c r="R30" s="28" t="str">
        <x:v>Not checked</x:v>
      </x:c>
      <x:c r="S30" s="28"/>
      <x:c r="T30" s="26" t="str">
        <x:f>IF(A30&lt;&gt;"YES","HOLD",IF(R30="Received",IF(S30&gt;=O30,"OK","SHORT"),"PENDING"))</x:f>
        <x:v>PENDING</x:v>
      </x:c>
      <x:c r="U30" s="26" t="str">
        <x:v>Automotive-qualified exact MPN.</x:v>
      </x:c>
    </x:row>
    <x:row r="31" ht="48" customHeight="1">
      <x:c r="A31" s="26" t="str">
        <x:v>YES</x:v>
      </x:c>
      <x:c r="B31" s="26" t="str">
        <x:v>Diode array</x:v>
      </x:c>
      <x:c r="C31" s="26" t="str">
        <x:v>IC1</x:v>
      </x:c>
      <x:c r="D31" s="26" t="n">
        <x:v>1</x:v>
      </x:c>
      <x:c r="E31" s="26" t="str">
        <x:v>Dual Schottky diode</x:v>
      </x:c>
      <x:c r="F31" s="26" t="str">
        <x:v>SOT-23-6</x:v>
      </x:c>
      <x:c r="G31" s="26" t="str">
        <x:v>Series-connected pair, 30 V</x:v>
      </x:c>
      <x:c r="H31" s="26" t="str">
        <x:v>Infineon</x:v>
      </x:c>
      <x:c r="I31" s="26" t="str">
        <x:v>BAT5404WH6327XTSA1</x:v>
      </x:c>
      <x:c r="J31" s="26" t="str">
        <x:v>448-BAT5404WH6327XTSA1CT-ND</x:v>
      </x:c>
      <x:c r="K31" s="23" t="str">
        <x:v>https://www.digikey.com/en/products/detail/infineon-technologies/BAT5404WH6327XTSA1/2337537</x:v>
      </x:c>
      <x:c r="L31" s="26" t="str">
        <x:v>DigiKey listed; recheck stock at order time</x:v>
      </x:c>
      <x:c r="M31" s="27" t="n">
        <x:f>D31*'Assumptions &amp; Notes'!$B$5</x:f>
        <x:v>1</x:v>
      </x:c>
      <x:c r="N31" s="29" t="n">
        <x:f>'Assumptions &amp; Notes'!$B$7</x:f>
        <x:v>0.1</x:v>
      </x:c>
      <x:c r="O31" s="27" t="n">
        <x:f>IF(A31="YES",ROUNDUP(M31*(1+N31),0),0)</x:f>
        <x:v>2</x:v>
      </x:c>
      <x:c r="P31" s="30"/>
      <x:c r="Q31" s="31" t="str">
        <x:f>IF(P31="","",O31*P31)</x:f>
      </x:c>
      <x:c r="R31" s="28" t="str">
        <x:v>Not checked</x:v>
      </x:c>
      <x:c r="S31" s="28"/>
      <x:c r="T31" s="26" t="str">
        <x:f>IF(A31&lt;&gt;"YES","HOLD",IF(R31="Received",IF(S31&gt;=O31,"OK","SHORT"),"PENDING"))</x:f>
        <x:v>PENDING</x:v>
      </x:c>
      <x:c r="U31" s="26" t="str">
        <x:v>Designator is IC1, but the device is a diode array.</x:v>
      </x:c>
    </x:row>
    <x:row r="32" ht="48" customHeight="1">
      <x:c r="A32" s="26" t="str">
        <x:v>YES</x:v>
      </x:c>
      <x:c r="B32" s="26" t="str">
        <x:v>Inductor</x:v>
      </x:c>
      <x:c r="C32" s="26" t="str">
        <x:v>L1</x:v>
      </x:c>
      <x:c r="D32" s="26" t="n">
        <x:v>1</x:v>
      </x:c>
      <x:c r="E32" s="26" t="str">
        <x:v>6.8 µH power inductor</x:v>
      </x:c>
      <x:c r="F32" s="26" t="str">
        <x:v>11.5 × 10.3 mm SMD</x:v>
      </x:c>
      <x:c r="G32" s="26" t="str">
        <x:v>13.5 A saturation class, low DCR</x:v>
      </x:c>
      <x:c r="H32" s="26" t="str">
        <x:v>Pulse Electronics</x:v>
      </x:c>
      <x:c r="I32" s="26" t="str">
        <x:v>PA4342.682NLT</x:v>
      </x:c>
      <x:c r="J32" s="26" t="str">
        <x:v>553-3442-1-ND</x:v>
      </x:c>
      <x:c r="K32" s="23" t="str">
        <x:v>https://www.digikey.com/en/products/detail/pulse-electronics/PA4342-682NLT/6128273</x:v>
      </x:c>
      <x:c r="L32" s="26" t="str">
        <x:v>DigiKey listed; recheck stock at order time</x:v>
      </x:c>
      <x:c r="M32" s="27" t="n">
        <x:f>D32*'Assumptions &amp; Notes'!$B$5</x:f>
        <x:v>1</x:v>
      </x:c>
      <x:c r="N32" s="29" t="n">
        <x:f>'Assumptions &amp; Notes'!$B$6</x:f>
        <x:v>0.2</x:v>
      </x:c>
      <x:c r="O32" s="27" t="n">
        <x:f>IF(A32="YES",ROUNDUP(M32*(1+N32),0),0)</x:f>
        <x:v>2</x:v>
      </x:c>
      <x:c r="P32" s="30"/>
      <x:c r="Q32" s="31" t="str">
        <x:f>IF(P32="","",O32*P32)</x:f>
      </x:c>
      <x:c r="R32" s="28" t="str">
        <x:v>Not checked</x:v>
      </x:c>
      <x:c r="S32" s="28"/>
      <x:c r="T32" s="26" t="str">
        <x:f>IF(A32&lt;&gt;"YES","HOLD",IF(R32="Received",IF(S32&gt;=O32,"OK","SHORT"),"PENDING"))</x:f>
        <x:v>PENDING</x:v>
      </x:c>
      <x:c r="U32" s="26" t="str">
        <x:v>Do not downrate current capability.</x:v>
      </x:c>
    </x:row>
    <x:row r="33" ht="48" customHeight="1">
      <x:c r="A33" s="26" t="str">
        <x:v>YES</x:v>
      </x:c>
      <x:c r="B33" s="26" t="str">
        <x:v>MOSFET</x:v>
      </x:c>
      <x:c r="C33" s="26" t="str">
        <x:v>Q2,Q3,Q4,Q5,Q6,Q7</x:v>
      </x:c>
      <x:c r="D33" s="26" t="n">
        <x:v>6</x:v>
      </x:c>
      <x:c r="E33" s="26" t="str">
        <x:v>N-channel MOSFET</x:v>
      </x:c>
      <x:c r="F33" s="26" t="str">
        <x:v>PG-TSDSON-8</x:v>
      </x:c>
      <x:c r="G33" s="26" t="str">
        <x:v>30 V, very low RDS(on), power stage</x:v>
      </x:c>
      <x:c r="H33" s="26" t="str">
        <x:v>Infineon</x:v>
      </x:c>
      <x:c r="I33" s="26" t="str">
        <x:v>BSZ0902NSATMA1</x:v>
      </x:c>
      <x:c r="J33" s="26" t="str">
        <x:v>BSZ0902NSATMA1CT-ND</x:v>
      </x:c>
      <x:c r="K33" s="23" t="str">
        <x:v>https://www.digikey.com/en/products/detail/infineon-technologies/BSZ0902NSATMA1/2783245</x:v>
      </x:c>
      <x:c r="L33" s="26" t="str">
        <x:v>DigiKey listed; recheck stock at order time</x:v>
      </x:c>
      <x:c r="M33" s="27" t="n">
        <x:f>D33*'Assumptions &amp; Notes'!$B$5</x:f>
        <x:v>6</x:v>
      </x:c>
      <x:c r="N33" s="29" t="n">
        <x:f>'Assumptions &amp; Notes'!$B$7</x:f>
        <x:v>0.1</x:v>
      </x:c>
      <x:c r="O33" s="27" t="n">
        <x:f>IF(A33="YES",ROUNDUP(M33*(1+N33),0),0)</x:f>
        <x:v>7</x:v>
      </x:c>
      <x:c r="P33" s="30"/>
      <x:c r="Q33" s="31" t="str">
        <x:f>IF(P33="","",O33*P33)</x:f>
      </x:c>
      <x:c r="R33" s="28" t="str">
        <x:v>Not checked</x:v>
      </x:c>
      <x:c r="S33" s="28"/>
      <x:c r="T33" s="26" t="str">
        <x:f>IF(A33&lt;&gt;"YES","HOLD",IF(R33="Received",IF(S33&gt;=O33,"OK","SHORT"),"PENDING"))</x:f>
        <x:v>PENDING</x:v>
      </x:c>
      <x:c r="U33" s="26" t="str">
        <x:v>Use the full ordering code; layout and thermal pad must match.</x:v>
      </x:c>
    </x:row>
    <x:row r="34" ht="48" customHeight="1">
      <x:c r="A34" s="26" t="str">
        <x:v>YES</x:v>
      </x:c>
      <x:c r="B34" s="26" t="str">
        <x:v>MOSFET</x:v>
      </x:c>
      <x:c r="C34" s="26" t="str">
        <x:v>Q8</x:v>
      </x:c>
      <x:c r="D34" s="26" t="n">
        <x:v>1</x:v>
      </x:c>
      <x:c r="E34" s="26" t="str">
        <x:v>N-channel MOSFET</x:v>
      </x:c>
      <x:c r="F34" s="26" t="str">
        <x:v>SOT-23</x:v>
      </x:c>
      <x:c r="G34" s="26" t="str">
        <x:v>60 V, logic-level small-signal</x:v>
      </x:c>
      <x:c r="H34" s="26" t="str">
        <x:v>Infineon</x:v>
      </x:c>
      <x:c r="I34" s="26" t="str">
        <x:v>BSS138NH6327XTSA2</x:v>
      </x:c>
      <x:c r="J34" s="26" t="str">
        <x:v>BSS138NH6327XTSA2CT-ND</x:v>
      </x:c>
      <x:c r="K34" s="23" t="str">
        <x:v>https://www.digikey.com/en/products/detail/infineon-technologies/BSS138NH6327XTSA2/5413728</x:v>
      </x:c>
      <x:c r="L34" s="26" t="str">
        <x:v>Exact MPN showed no DigiKey stock on 2026-07-21</x:v>
      </x:c>
      <x:c r="M34" s="27" t="n">
        <x:f>D34*'Assumptions &amp; Notes'!$B$5</x:f>
        <x:v>1</x:v>
      </x:c>
      <x:c r="N34" s="29" t="n">
        <x:f>'Assumptions &amp; Notes'!$B$7</x:f>
        <x:v>0.1</x:v>
      </x:c>
      <x:c r="O34" s="27" t="n">
        <x:f>IF(A34="YES",ROUNDUP(M34*(1+N34),0),0)</x:f>
        <x:v>2</x:v>
      </x:c>
      <x:c r="P34" s="30"/>
      <x:c r="Q34" s="31" t="str">
        <x:f>IF(P34="","",O34*P34)</x:f>
      </x:c>
      <x:c r="R34" s="28" t="str">
        <x:v>Not checked</x:v>
      </x:c>
      <x:c r="S34" s="28"/>
      <x:c r="T34" s="26" t="str">
        <x:f>IF(A34&lt;&gt;"YES","HOLD",IF(R34="Received",IF(S34&gt;=O34,"OK","SHORT"),"PENDING"))</x:f>
        <x:v>PENDING</x:v>
      </x:c>
      <x:c r="U34" s="26" t="str">
        <x:v>Backorder or cross-reference only after checking 60 V rating, pinout and gate-drive suitability.</x:v>
      </x:c>
    </x:row>
    <x:row r="35" ht="48" customHeight="1">
      <x:c r="A35" s="26" t="str">
        <x:v>YES</x:v>
      </x:c>
      <x:c r="B35" s="26" t="str">
        <x:v>Controller IC</x:v>
      </x:c>
      <x:c r="C35" s="26" t="str">
        <x:v>U1</x:v>
      </x:c>
      <x:c r="D35" s="26" t="n">
        <x:v>1</x:v>
      </x:c>
      <x:c r="E35" s="26" t="str">
        <x:v>Qi transmitter controller</x:v>
      </x:c>
      <x:c r="F35" s="26" t="str">
        <x:v>PG-VQFN-68</x:v>
      </x:c>
      <x:c r="G35" s="26" t="str">
        <x:v>WLC1115, 4.5–24 V transmitter controller</x:v>
      </x:c>
      <x:c r="H35" s="26" t="str">
        <x:v>Infineon</x:v>
      </x:c>
      <x:c r="I35" s="26" t="str">
        <x:v>WLC1115-68LQXQ</x:v>
      </x:c>
      <x:c r="J35" s="26" t="str">
        <x:v>448-WLC1115-68LQXQ-ND</x:v>
      </x:c>
      <x:c r="K35" s="23" t="str">
        <x:v>https://www.digikey.com/en/products/detail/infineon-technologies/WLC1115-68LQXQ/16676239</x:v>
      </x:c>
      <x:c r="L35" s="26" t="str">
        <x:v>Limited / last-time-buy listing; verify immediately</x:v>
      </x:c>
      <x:c r="M35" s="27" t="n">
        <x:f>D35*'Assumptions &amp; Notes'!$B$5</x:f>
        <x:v>1</x:v>
      </x:c>
      <x:c r="N35" s="29" t="n">
        <x:f>'Assumptions &amp; Notes'!$B$7</x:f>
        <x:v>0.1</x:v>
      </x:c>
      <x:c r="O35" s="27" t="n">
        <x:f>IF(A35="YES",ROUNDUP(M35*(1+N35),0),0)</x:f>
        <x:v>2</x:v>
      </x:c>
      <x:c r="P35" s="30"/>
      <x:c r="Q35" s="31" t="str">
        <x:f>IF(P35="","",O35*P35)</x:f>
      </x:c>
      <x:c r="R35" s="28" t="str">
        <x:v>Not checked</x:v>
      </x:c>
      <x:c r="S35" s="28"/>
      <x:c r="T35" s="26" t="str">
        <x:f>IF(A35&lt;&gt;"YES","HOLD",IF(R35="Received",IF(S35&gt;=O35,"OK","SHORT"),"PENDING"))</x:f>
        <x:v>PENDING</x:v>
      </x:c>
      <x:c r="U35" s="26" t="str">
        <x:v>Special-order risk. Do not leave this until the rest of the order is complete.</x:v>
      </x:c>
    </x:row>
    <x:row r="36" ht="48" customHeight="1">
      <x:c r="A36" s="26" t="str">
        <x:v>CHECK</x:v>
      </x:c>
      <x:c r="B36" s="26" t="str">
        <x:v>Secure element</x:v>
      </x:c>
      <x:c r="C36" s="26" t="str">
        <x:v>U2</x:v>
      </x:c>
      <x:c r="D36" s="26" t="n">
        <x:v>1</x:v>
      </x:c>
      <x:c r="E36" s="26" t="str">
        <x:v>Authentication IC</x:v>
      </x:c>
      <x:c r="F36" s="26" t="str">
        <x:v>PG-USON-10-2</x:v>
      </x:c>
      <x:c r="G36" s="26" t="str">
        <x:v>Infineon OPTIGA Trust Charge family</x:v>
      </x:c>
      <x:c r="H36" s="26" t="str">
        <x:v>Infineon</x:v>
      </x:c>
      <x:c r="I36" s="26" t="str">
        <x:v>SLS32AIA020U2USON10XTMA2</x:v>
      </x:c>
      <x:c r="J36" s="26" t="str"/>
      <x:c r="K36" s="23" t="str">
        <x:v>https://www.digikey.com/en/products/result?keywords=SLS32AIA020U2USON10XTMA2</x:v>
      </x:c>
      <x:c r="L36" s="26" t="str">
        <x:v>Suffix/source not confirmed at DigiKey</x:v>
      </x:c>
      <x:c r="M36" s="27" t="n">
        <x:f>D36*'Assumptions &amp; Notes'!$B$5</x:f>
        <x:v>1</x:v>
      </x:c>
      <x:c r="N36" s="29" t="n">
        <x:f>'Assumptions &amp; Notes'!$B$7</x:f>
        <x:v>0.1</x:v>
      </x:c>
      <x:c r="O36" s="27" t="n">
        <x:f>IF(A36="YES",ROUNDUP(M36*(1+N36),0),0)</x:f>
        <x:v>0</x:v>
      </x:c>
      <x:c r="P36" s="30"/>
      <x:c r="Q36" s="31" t="str">
        <x:f>IF(P36="","",O36*P36)</x:f>
      </x:c>
      <x:c r="R36" s="28" t="str">
        <x:v>Not checked</x:v>
      </x:c>
      <x:c r="S36" s="28"/>
      <x:c r="T36" s="26" t="str">
        <x:f>IF(A36&lt;&gt;"YES","HOLD",IF(R36="Received",IF(S36&gt;=O36,"OK","SHORT"),"PENDING"))</x:f>
        <x:v>HOLD</x:v>
      </x:c>
      <x:c r="U36" s="26" t="str">
        <x:v>HOLD: schematic text appears to use XTMA1, while the Infineon hardware guide calls out XTMA2. Confirm the exact orderable suffix and provisioning before purchasing.</x:v>
      </x:c>
    </x:row>
    <x:row r="37" ht="48" customHeight="1">
      <x:c r="A37" s="26" t="str">
        <x:v>YES</x:v>
      </x:c>
      <x:c r="B37" s="26" t="str">
        <x:v>Op amp</x:v>
      </x:c>
      <x:c r="C37" s="26" t="str">
        <x:v>U3</x:v>
      </x:c>
      <x:c r="D37" s="26" t="n">
        <x:v>1</x:v>
      </x:c>
      <x:c r="E37" s="26" t="str">
        <x:v>Dual operational amplifier</x:v>
      </x:c>
      <x:c r="F37" s="26" t="str">
        <x:v>VSSOP-8 (DGK)</x:v>
      </x:c>
      <x:c r="G37" s="26" t="str">
        <x:v>Automotive, rail-to-rail output, low-voltage</x:v>
      </x:c>
      <x:c r="H37" s="26" t="str">
        <x:v>Texas Instruments</x:v>
      </x:c>
      <x:c r="I37" s="26" t="str">
        <x:v>LMV358AQDGKRQ1</x:v>
      </x:c>
      <x:c r="J37" s="26" t="str">
        <x:v>296-LMV358AQDGKRQ1CT-ND</x:v>
      </x:c>
      <x:c r="K37" s="23" t="str">
        <x:v>https://www.digikey.com/en/products/detail/texas-instruments/LMV358AQDGKRQ1/14123996</x:v>
      </x:c>
      <x:c r="L37" s="26" t="str">
        <x:v>DigiKey listed; recheck stock at order time</x:v>
      </x:c>
      <x:c r="M37" s="27" t="n">
        <x:f>D37*'Assumptions &amp; Notes'!$B$5</x:f>
        <x:v>1</x:v>
      </x:c>
      <x:c r="N37" s="29" t="n">
        <x:f>'Assumptions &amp; Notes'!$B$7</x:f>
        <x:v>0.1</x:v>
      </x:c>
      <x:c r="O37" s="27" t="n">
        <x:f>IF(A37="YES",ROUNDUP(M37*(1+N37),0),0)</x:f>
        <x:v>2</x:v>
      </x:c>
      <x:c r="P37" s="30"/>
      <x:c r="Q37" s="31" t="str">
        <x:f>IF(P37="","",O37*P37)</x:f>
      </x:c>
      <x:c r="R37" s="28" t="str">
        <x:v>Not checked</x:v>
      </x:c>
      <x:c r="S37" s="28"/>
      <x:c r="T37" s="26" t="str">
        <x:f>IF(A37&lt;&gt;"YES","HOLD",IF(R37="Received",IF(S37&gt;=O37,"OK","SHORT"),"PENDING"))</x:f>
        <x:v>PENDING</x:v>
      </x:c>
      <x:c r="U37" s="26" t="str">
        <x:v>Exact package suffix must remain DGK.</x:v>
      </x:c>
    </x:row>
    <x:row r="38" ht="48" customHeight="1">
      <x:c r="A38" s="26" t="str">
        <x:v>YES</x:v>
      </x:c>
      <x:c r="B38" s="26" t="str">
        <x:v>Connector</x:v>
      </x:c>
      <x:c r="C38" s="26" t="str">
        <x:v>J1,J2</x:v>
      </x:c>
      <x:c r="D38" s="26" t="n">
        <x:v>2</x:v>
      </x:c>
      <x:c r="E38" s="26" t="str">
        <x:v>1×2 right-angle male header</x:v>
      </x:c>
      <x:c r="F38" s="26" t="str">
        <x:v>2.54 mm pitch THT</x:v>
      </x:c>
      <x:c r="G38" s="26" t="str">
        <x:v>Single row, right-angle, 2 positions</x:v>
      </x:c>
      <x:c r="H38" s="26" t="str">
        <x:v>Samtec</x:v>
      </x:c>
      <x:c r="I38" s="26" t="str">
        <x:v>TSW-102-08-L-S-RA</x:v>
      </x:c>
      <x:c r="J38" s="26" t="str">
        <x:v>612-TSW-102-08-L-S-RA-ND</x:v>
      </x:c>
      <x:c r="K38" s="23" t="str">
        <x:v>https://www.digikey.com/en/products/detail/samtec-inc/TSW-102-08-L-S-RA/1102022</x:v>
      </x:c>
      <x:c r="L38" s="26" t="str">
        <x:v>DigiKey listed; recheck stock at order time</x:v>
      </x:c>
      <x:c r="M38" s="27" t="n">
        <x:f>D38*'Assumptions &amp; Notes'!$B$5</x:f>
        <x:v>2</x:v>
      </x:c>
      <x:c r="N38" s="29" t="n">
        <x:f>'Assumptions &amp; Notes'!$B$8</x:f>
        <x:v>0</x:v>
      </x:c>
      <x:c r="O38" s="27" t="n">
        <x:f>IF(A38="YES",ROUNDUP(M38*(1+N38),0),0)</x:f>
        <x:v>2</x:v>
      </x:c>
      <x:c r="P38" s="30"/>
      <x:c r="Q38" s="31" t="str">
        <x:f>IF(P38="","",O38*P38)</x:f>
      </x:c>
      <x:c r="R38" s="28" t="str">
        <x:v>Not checked</x:v>
      </x:c>
      <x:c r="S38" s="28"/>
      <x:c r="T38" s="26" t="str">
        <x:f>IF(A38&lt;&gt;"YES","HOLD",IF(R38="Received",IF(S38&gt;=O38,"OK","SHORT"),"PENDING"))</x:f>
        <x:v>PENDING</x:v>
      </x:c>
      <x:c r="U38" s="26" t="str">
        <x:v>Mating housings/contacts are not included in this board BOM.</x:v>
      </x:c>
    </x:row>
    <x:row r="39" ht="48" customHeight="1">
      <x:c r="A39" s="26" t="str">
        <x:v>YES</x:v>
      </x:c>
      <x:c r="B39" s="26" t="str">
        <x:v>Connector</x:v>
      </x:c>
      <x:c r="C39" s="26" t="str">
        <x:v>J3</x:v>
      </x:c>
      <x:c r="D39" s="26" t="n">
        <x:v>1</x:v>
      </x:c>
      <x:c r="E39" s="26" t="str">
        <x:v>1×1 right-angle male header</x:v>
      </x:c>
      <x:c r="F39" s="26" t="str">
        <x:v>2.54 mm pitch THT</x:v>
      </x:c>
      <x:c r="G39" s="26" t="str">
        <x:v>Single row, right-angle, 1 position</x:v>
      </x:c>
      <x:c r="H39" s="26" t="str">
        <x:v>Samtec</x:v>
      </x:c>
      <x:c r="I39" s="26" t="str">
        <x:v>TSW-101-08-T-S-RA</x:v>
      </x:c>
      <x:c r="J39" s="26" t="str"/>
      <x:c r="K39" s="23" t="str">
        <x:v>https://www.digikey.com/en/products/result?keywords=TSW-101-08-T-S-RA</x:v>
      </x:c>
      <x:c r="L39" s="26" t="str">
        <x:v>Check live DigiKey stock</x:v>
      </x:c>
      <x:c r="M39" s="27" t="n">
        <x:f>D39*'Assumptions &amp; Notes'!$B$5</x:f>
        <x:v>1</x:v>
      </x:c>
      <x:c r="N39" s="29" t="n">
        <x:f>'Assumptions &amp; Notes'!$B$8</x:f>
        <x:v>0</x:v>
      </x:c>
      <x:c r="O39" s="27" t="n">
        <x:f>IF(A39="YES",ROUNDUP(M39*(1+N39),0),0)</x:f>
        <x:v>1</x:v>
      </x:c>
      <x:c r="P39" s="30"/>
      <x:c r="Q39" s="31" t="str">
        <x:f>IF(P39="","",O39*P39)</x:f>
      </x:c>
      <x:c r="R39" s="28" t="str">
        <x:v>Not checked</x:v>
      </x:c>
      <x:c r="S39" s="28"/>
      <x:c r="T39" s="26" t="str">
        <x:f>IF(A39&lt;&gt;"YES","HOLD",IF(R39="Received",IF(S39&gt;=O39,"OK","SHORT"),"PENDING"))</x:f>
        <x:v>PENDING</x:v>
      </x:c>
      <x:c r="U39" s="26" t="str">
        <x:v>Tin-contact variant; verify the intended external connection.</x:v>
      </x:c>
    </x:row>
    <x:row r="40" ht="48" customHeight="1">
      <x:c r="A40" s="26" t="str">
        <x:v>CHECK</x:v>
      </x:c>
      <x:c r="B40" s="26" t="str">
        <x:v>Connector</x:v>
      </x:c>
      <x:c r="C40" s="26" t="str">
        <x:v>J4</x:v>
      </x:c>
      <x:c r="D40" s="26" t="n">
        <x:v>1</x:v>
      </x:c>
      <x:c r="E40" s="26" t="str">
        <x:v>1×5 right-angle male header</x:v>
      </x:c>
      <x:c r="F40" s="26" t="str">
        <x:v>2.54 mm pitch THT</x:v>
      </x:c>
      <x:c r="G40" s="26" t="str">
        <x:v>Single row, right-angle, 5 positions</x:v>
      </x:c>
      <x:c r="H40" s="26" t="str">
        <x:v>Samtec</x:v>
      </x:c>
      <x:c r="I40" s="26" t="str">
        <x:v>TSW-105-08-L-S-RA</x:v>
      </x:c>
      <x:c r="J40" s="26" t="str"/>
      <x:c r="K40" s="23" t="str">
        <x:v>https://www.digikey.com/en/products/result?keywords=TSW-105-08-L-S-RA</x:v>
      </x:c>
      <x:c r="L40" s="26" t="str">
        <x:v>Mechanical confirmation required</x:v>
      </x:c>
      <x:c r="M40" s="27" t="n">
        <x:f>D40*'Assumptions &amp; Notes'!$B$5</x:f>
        <x:v>1</x:v>
      </x:c>
      <x:c r="N40" s="29" t="n">
        <x:f>'Assumptions &amp; Notes'!$B$8</x:f>
        <x:v>0</x:v>
      </x:c>
      <x:c r="O40" s="27" t="n">
        <x:f>IF(A40="YES",ROUNDUP(M40*(1+N40),0),0)</x:f>
        <x:v>0</x:v>
      </x:c>
      <x:c r="P40" s="30"/>
      <x:c r="Q40" s="31" t="str">
        <x:f>IF(P40="","",O40*P40)</x:f>
      </x:c>
      <x:c r="R40" s="28" t="str">
        <x:v>Not checked</x:v>
      </x:c>
      <x:c r="S40" s="28"/>
      <x:c r="T40" s="26" t="str">
        <x:f>IF(A40&lt;&gt;"YES","HOLD",IF(R40="Received",IF(S40&gt;=O40,"OK","SHORT"),"PENDING"))</x:f>
        <x:v>HOLD</x:v>
      </x:c>
      <x:c r="U40" s="26" t="str">
        <x:v>HOLD: the schematic symbol says socket, but the PCB footprint is a right-angle male pin header. Change CHECK to YES only after confirming which gender you want.</x:v>
      </x:c>
    </x:row>
    <x:row r="41" ht="48" customHeight="1">
      <x:c r="A41" s="26" t="str">
        <x:v>YES</x:v>
      </x:c>
      <x:c r="B41" s="26" t="str">
        <x:v>Terminal block</x:v>
      </x:c>
      <x:c r="C41" s="26" t="str">
        <x:v>L2</x:v>
      </x:c>
      <x:c r="D41" s="26" t="n">
        <x:v>1</x:v>
      </x:c>
      <x:c r="E41" s="26" t="str">
        <x:v>2-position terminal block</x:v>
      </x:c>
      <x:c r="F41" s="26" t="str">
        <x:v>5.08 mm pitch THT</x:v>
      </x:c>
      <x:c r="G41" s="26" t="str">
        <x:v>Wire-to-board screw terminal</x:v>
      </x:c>
      <x:c r="H41" s="26" t="str">
        <x:v>Phoenix Contact</x:v>
      </x:c>
      <x:c r="I41" s="26" t="str">
        <x:v>1715721</x:v>
      </x:c>
      <x:c r="J41" s="26" t="str">
        <x:v>277-1263-ND</x:v>
      </x:c>
      <x:c r="K41" s="23" t="str">
        <x:v>https://www.digikey.com/en/products/detail/phoenix-contact/1715721/260631</x:v>
      </x:c>
      <x:c r="L41" s="26" t="str">
        <x:v>DigiKey listed; recheck stock at order time</x:v>
      </x:c>
      <x:c r="M41" s="27" t="n">
        <x:f>D41*'Assumptions &amp; Notes'!$B$5</x:f>
        <x:v>1</x:v>
      </x:c>
      <x:c r="N41" s="29" t="n">
        <x:f>'Assumptions &amp; Notes'!$B$8</x:f>
        <x:v>0</x:v>
      </x:c>
      <x:c r="O41" s="27" t="n">
        <x:f>IF(A41="YES",ROUNDUP(M41*(1+N41),0),0)</x:f>
        <x:v>1</x:v>
      </x:c>
      <x:c r="P41" s="30"/>
      <x:c r="Q41" s="31" t="str">
        <x:f>IF(P41="","",O41*P41)</x:f>
      </x:c>
      <x:c r="R41" s="28" t="str">
        <x:v>Not checked</x:v>
      </x:c>
      <x:c r="S41" s="28"/>
      <x:c r="T41" s="26" t="str">
        <x:f>IF(A41&lt;&gt;"YES","HOLD",IF(R41="Received",IF(S41&gt;=O41,"OK","SHORT"),"PENDING"))</x:f>
        <x:v>PENDING</x:v>
      </x:c>
      <x:c r="U41" s="26" t="str">
        <x:v>This is the PCB connection for the external transmitter coil; the coil itself is a separate line below.</x:v>
      </x:c>
    </x:row>
    <x:row r="42" ht="48" customHeight="1">
      <x:c r="A42" s="26" t="str">
        <x:v>YES</x:v>
      </x:c>
      <x:c r="B42" s="26" t="str">
        <x:v>External coil</x:v>
      </x:c>
      <x:c r="C42" s="26" t="str">
        <x:v>EXT-COIL</x:v>
      </x:c>
      <x:c r="D42" s="26" t="n">
        <x:v>1</x:v>
      </x:c>
      <x:c r="E42" s="26" t="str">
        <x:v>Qi MP-A11 transmitter coil</x:v>
      </x:c>
      <x:c r="F42" s="26" t="str">
        <x:v>50 × 50 mm class</x:v>
      </x:c>
      <x:c r="G42" s="26" t="str">
        <x:v>6.3 µH class, high-current wireless-power TX coil</x:v>
      </x:c>
      <x:c r="H42" s="26" t="str">
        <x:v>Vishay Dale</x:v>
      </x:c>
      <x:c r="I42" s="26" t="str">
        <x:v>IWTX5050CZEB6R3KF1</x:v>
      </x:c>
      <x:c r="J42" s="26" t="str"/>
      <x:c r="K42" s="23" t="str">
        <x:v>https://www.digikey.com/en/products/result?keywords=IWTX5050CZEB6R3KF1</x:v>
      </x:c>
      <x:c r="L42" s="26" t="str">
        <x:v>Check whether DigiKey currently carries the exact reference coil</x:v>
      </x:c>
      <x:c r="M42" s="27" t="n">
        <x:f>D42*'Assumptions &amp; Notes'!$B$5</x:f>
        <x:v>1</x:v>
      </x:c>
      <x:c r="N42" s="29" t="n">
        <x:f>'Assumptions &amp; Notes'!$B$8</x:f>
        <x:v>0</x:v>
      </x:c>
      <x:c r="O42" s="27" t="n">
        <x:f>IF(A42="YES",ROUNDUP(M42*(1+N42),0),0)</x:f>
        <x:v>1</x:v>
      </x:c>
      <x:c r="P42" s="30"/>
      <x:c r="Q42" s="31" t="str">
        <x:f>IF(P42="","",O42*P42)</x:f>
      </x:c>
      <x:c r="R42" s="28" t="str">
        <x:v>Not checked</x:v>
      </x:c>
      <x:c r="S42" s="28"/>
      <x:c r="T42" s="26" t="str">
        <x:f>IF(A42&lt;&gt;"YES","HOLD",IF(R42="Received",IF(S42&gt;=O42,"OK","SHORT"),"PENDING"))</x:f>
        <x:v>PENDING</x:v>
      </x:c>
      <x:c r="U42" s="26" t="str">
        <x:v>External to the PCB. Do not substitute solely by inductance: Qi class, geometry, shielding, resistance and current rating matter.</x:v>
      </x:c>
    </x:row>
    <x:row r="43" ht="48" customHeight="1">
      <x:c r="A43" s="26" t="str">
        <x:v>YES</x:v>
      </x:c>
      <x:c r="B43" s="26" t="str">
        <x:v>Resistor</x:v>
      </x:c>
      <x:c r="C43" s="26" t="str">
        <x:v>R1,R6,R7,R11</x:v>
      </x:c>
      <x:c r="D43" s="26" t="n">
        <x:v>4</x:v>
      </x:c>
      <x:c r="E43" s="26" t="str">
        <x:v>1 kΩ</x:v>
      </x:c>
      <x:c r="F43" s="26" t="str">
        <x:v>0603</x:v>
      </x:c>
      <x:c r="G43" s="26" t="str">
        <x:v>±1%, 0.1 W</x:v>
      </x:c>
      <x:c r="H43" s="26" t="str">
        <x:v>YAGEO</x:v>
      </x:c>
      <x:c r="I43" s="26" t="str">
        <x:v>RC0603FR-071KL</x:v>
      </x:c>
      <x:c r="J43" s="26" t="str"/>
      <x:c r="K43" s="23" t="str">
        <x:v>https://www.digikey.com/en/products/result?keywords=RC0603FR-071KL</x:v>
      </x:c>
      <x:c r="L43" s="26" t="str">
        <x:v>Check live DigiKey stock</x:v>
      </x:c>
      <x:c r="M43" s="27" t="n">
        <x:f>D43*'Assumptions &amp; Notes'!$B$5</x:f>
        <x:v>4</x:v>
      </x:c>
      <x:c r="N43" s="29" t="n">
        <x:f>'Assumptions &amp; Notes'!$B$6</x:f>
        <x:v>0.2</x:v>
      </x:c>
      <x:c r="O43" s="27" t="n">
        <x:f>IF(A43="YES",ROUNDUP(M43*(1+N43),0),0)</x:f>
        <x:v>5</x:v>
      </x:c>
      <x:c r="P43" s="30"/>
      <x:c r="Q43" s="31" t="str">
        <x:f>IF(P43="","",O43*P43)</x:f>
      </x:c>
      <x:c r="R43" s="28" t="str">
        <x:v>Not checked</x:v>
      </x:c>
      <x:c r="S43" s="28"/>
      <x:c r="T43" s="26" t="str">
        <x:f>IF(A43&lt;&gt;"YES","HOLD",IF(R43="Received",IF(S43&gt;=O43,"OK","SHORT"),"PENDING"))</x:f>
        <x:v>PENDING</x:v>
      </x:c>
      <x:c r="U43" s="26" t="str"/>
    </x:row>
    <x:row r="44" ht="48" customHeight="1">
      <x:c r="A44" s="26" t="str">
        <x:v>YES</x:v>
      </x:c>
      <x:c r="B44" s="26" t="str">
        <x:v>Resistor</x:v>
      </x:c>
      <x:c r="C44" s="26" t="str">
        <x:v>R8,R9,R10,R30,R43</x:v>
      </x:c>
      <x:c r="D44" s="26" t="n">
        <x:v>5</x:v>
      </x:c>
      <x:c r="E44" s="26" t="str">
        <x:v>0 Ω jumper</x:v>
      </x:c>
      <x:c r="F44" s="26" t="str">
        <x:v>0402</x:v>
      </x:c>
      <x:c r="G44" s="26" t="str">
        <x:v>Jumper, 0.063 W class</x:v>
      </x:c>
      <x:c r="H44" s="26" t="str">
        <x:v>YAGEO</x:v>
      </x:c>
      <x:c r="I44" s="26" t="str">
        <x:v>RC0402JR-070RL</x:v>
      </x:c>
      <x:c r="J44" s="26" t="str"/>
      <x:c r="K44" s="23" t="str">
        <x:v>https://www.digikey.com/en/products/result?keywords=RC0402JR-070RL</x:v>
      </x:c>
      <x:c r="L44" s="26" t="str">
        <x:v>Check live DigiKey stock</x:v>
      </x:c>
      <x:c r="M44" s="27" t="n">
        <x:f>D44*'Assumptions &amp; Notes'!$B$5</x:f>
        <x:v>5</x:v>
      </x:c>
      <x:c r="N44" s="29" t="n">
        <x:f>'Assumptions &amp; Notes'!$B$6</x:f>
        <x:v>0.2</x:v>
      </x:c>
      <x:c r="O44" s="27" t="n">
        <x:f>IF(A44="YES",ROUNDUP(M44*(1+N44),0),0)</x:f>
        <x:v>6</x:v>
      </x:c>
      <x:c r="P44" s="30"/>
      <x:c r="Q44" s="31" t="str">
        <x:f>IF(P44="","",O44*P44)</x:f>
      </x:c>
      <x:c r="R44" s="28" t="str">
        <x:v>Not checked</x:v>
      </x:c>
      <x:c r="S44" s="28"/>
      <x:c r="T44" s="26" t="str">
        <x:f>IF(A44&lt;&gt;"YES","HOLD",IF(R44="Received",IF(S44&gt;=O44,"OK","SHORT"),"PENDING"))</x:f>
        <x:v>PENDING</x:v>
      </x:c>
      <x:c r="U44" s="26" t="str"/>
    </x:row>
    <x:row r="45" ht="48" customHeight="1">
      <x:c r="A45" s="26" t="str">
        <x:v>YES</x:v>
      </x:c>
      <x:c r="B45" s="26" t="str">
        <x:v>Resistor</x:v>
      </x:c>
      <x:c r="C45" s="26" t="str">
        <x:v>R12</x:v>
      </x:c>
      <x:c r="D45" s="26" t="n">
        <x:v>1</x:v>
      </x:c>
      <x:c r="E45" s="26" t="str">
        <x:v>27 kΩ</x:v>
      </x:c>
      <x:c r="F45" s="26" t="str">
        <x:v>0603</x:v>
      </x:c>
      <x:c r="G45" s="26" t="str">
        <x:v>±1%, 0.1 W</x:v>
      </x:c>
      <x:c r="H45" s="26" t="str">
        <x:v>YAGEO</x:v>
      </x:c>
      <x:c r="I45" s="26" t="str">
        <x:v>RC0603FR-0727KL</x:v>
      </x:c>
      <x:c r="J45" s="26" t="str"/>
      <x:c r="K45" s="23" t="str">
        <x:v>https://www.digikey.com/en/products/result?keywords=RC0603FR-0727KL</x:v>
      </x:c>
      <x:c r="L45" s="26" t="str">
        <x:v>Check live DigiKey stock</x:v>
      </x:c>
      <x:c r="M45" s="27" t="n">
        <x:f>D45*'Assumptions &amp; Notes'!$B$5</x:f>
        <x:v>1</x:v>
      </x:c>
      <x:c r="N45" s="29" t="n">
        <x:f>'Assumptions &amp; Notes'!$B$6</x:f>
        <x:v>0.2</x:v>
      </x:c>
      <x:c r="O45" s="27" t="n">
        <x:f>IF(A45="YES",ROUNDUP(M45*(1+N45),0),0)</x:f>
        <x:v>2</x:v>
      </x:c>
      <x:c r="P45" s="30"/>
      <x:c r="Q45" s="31" t="str">
        <x:f>IF(P45="","",O45*P45)</x:f>
      </x:c>
      <x:c r="R45" s="28" t="str">
        <x:v>Not checked</x:v>
      </x:c>
      <x:c r="S45" s="28"/>
      <x:c r="T45" s="26" t="str">
        <x:f>IF(A45&lt;&gt;"YES","HOLD",IF(R45="Received",IF(S45&gt;=O45,"OK","SHORT"),"PENDING"))</x:f>
        <x:v>PENDING</x:v>
      </x:c>
      <x:c r="U45" s="26" t="str"/>
    </x:row>
    <x:row r="46" ht="48" customHeight="1">
      <x:c r="A46" s="26" t="str">
        <x:v>YES</x:v>
      </x:c>
      <x:c r="B46" s="26" t="str">
        <x:v>Resistor</x:v>
      </x:c>
      <x:c r="C46" s="26" t="str">
        <x:v>R2,R13,R20,R21,R31,R39</x:v>
      </x:c>
      <x:c r="D46" s="26" t="n">
        <x:v>6</x:v>
      </x:c>
      <x:c r="E46" s="26" t="str">
        <x:v>5.1 kΩ</x:v>
      </x:c>
      <x:c r="F46" s="26" t="str">
        <x:v>0603</x:v>
      </x:c>
      <x:c r="G46" s="26" t="str">
        <x:v>±1%, 0.1 W</x:v>
      </x:c>
      <x:c r="H46" s="26" t="str">
        <x:v>YAGEO</x:v>
      </x:c>
      <x:c r="I46" s="26" t="str">
        <x:v>RC0603FR-075K1L</x:v>
      </x:c>
      <x:c r="J46" s="26" t="str"/>
      <x:c r="K46" s="23" t="str">
        <x:v>https://www.digikey.com/en/products/result?keywords=RC0603FR-075K1L</x:v>
      </x:c>
      <x:c r="L46" s="26" t="str">
        <x:v>Check live DigiKey stock</x:v>
      </x:c>
      <x:c r="M46" s="27" t="n">
        <x:f>D46*'Assumptions &amp; Notes'!$B$5</x:f>
        <x:v>6</x:v>
      </x:c>
      <x:c r="N46" s="29" t="n">
        <x:f>'Assumptions &amp; Notes'!$B$6</x:f>
        <x:v>0.2</x:v>
      </x:c>
      <x:c r="O46" s="27" t="n">
        <x:f>IF(A46="YES",ROUNDUP(M46*(1+N46),0),0)</x:f>
        <x:v>8</x:v>
      </x:c>
      <x:c r="P46" s="30"/>
      <x:c r="Q46" s="31" t="str">
        <x:f>IF(P46="","",O46*P46)</x:f>
      </x:c>
      <x:c r="R46" s="28" t="str">
        <x:v>Not checked</x:v>
      </x:c>
      <x:c r="S46" s="28"/>
      <x:c r="T46" s="26" t="str">
        <x:f>IF(A46&lt;&gt;"YES","HOLD",IF(R46="Received",IF(S46&gt;=O46,"OK","SHORT"),"PENDING"))</x:f>
        <x:v>PENDING</x:v>
      </x:c>
      <x:c r="U46" s="26" t="str"/>
    </x:row>
    <x:row r="47" ht="48" customHeight="1">
      <x:c r="A47" s="26" t="str">
        <x:v>YES</x:v>
      </x:c>
      <x:c r="B47" s="26" t="str">
        <x:v>Resistor</x:v>
      </x:c>
      <x:c r="C47" s="26" t="str">
        <x:v>R14</x:v>
      </x:c>
      <x:c r="D47" s="26" t="n">
        <x:v>1</x:v>
      </x:c>
      <x:c r="E47" s="26" t="str">
        <x:v>390 Ω</x:v>
      </x:c>
      <x:c r="F47" s="26" t="str">
        <x:v>0603</x:v>
      </x:c>
      <x:c r="G47" s="26" t="str">
        <x:v>±1%, 0.1 W</x:v>
      </x:c>
      <x:c r="H47" s="26" t="str">
        <x:v>YAGEO</x:v>
      </x:c>
      <x:c r="I47" s="26" t="str">
        <x:v>RC0603FR-07390RL</x:v>
      </x:c>
      <x:c r="J47" s="26" t="str"/>
      <x:c r="K47" s="23" t="str">
        <x:v>https://www.digikey.com/en/products/result?keywords=RC0603FR-07390RL</x:v>
      </x:c>
      <x:c r="L47" s="26" t="str">
        <x:v>Check live DigiKey stock</x:v>
      </x:c>
      <x:c r="M47" s="27" t="n">
        <x:f>D47*'Assumptions &amp; Notes'!$B$5</x:f>
        <x:v>1</x:v>
      </x:c>
      <x:c r="N47" s="29" t="n">
        <x:f>'Assumptions &amp; Notes'!$B$6</x:f>
        <x:v>0.2</x:v>
      </x:c>
      <x:c r="O47" s="27" t="n">
        <x:f>IF(A47="YES",ROUNDUP(M47*(1+N47),0),0)</x:f>
        <x:v>2</x:v>
      </x:c>
      <x:c r="P47" s="30"/>
      <x:c r="Q47" s="31" t="str">
        <x:f>IF(P47="","",O47*P47)</x:f>
      </x:c>
      <x:c r="R47" s="28" t="str">
        <x:v>Not checked</x:v>
      </x:c>
      <x:c r="S47" s="28"/>
      <x:c r="T47" s="26" t="str">
        <x:f>IF(A47&lt;&gt;"YES","HOLD",IF(R47="Received",IF(S47&gt;=O47,"OK","SHORT"),"PENDING"))</x:f>
        <x:v>PENDING</x:v>
      </x:c>
      <x:c r="U47" s="26" t="str"/>
    </x:row>
    <x:row r="48" ht="48" customHeight="1">
      <x:c r="A48" s="26" t="str">
        <x:v>YES</x:v>
      </x:c>
      <x:c r="B48" s="26" t="str">
        <x:v>Resistor</x:v>
      </x:c>
      <x:c r="C48" s="26" t="str">
        <x:v>R15</x:v>
      </x:c>
      <x:c r="D48" s="26" t="n">
        <x:v>1</x:v>
      </x:c>
      <x:c r="E48" s="26" t="str">
        <x:v>10 kΩ</x:v>
      </x:c>
      <x:c r="F48" s="26" t="str">
        <x:v>0603</x:v>
      </x:c>
      <x:c r="G48" s="26" t="str">
        <x:v>±1%, 0.1 W</x:v>
      </x:c>
      <x:c r="H48" s="26" t="str">
        <x:v>YAGEO</x:v>
      </x:c>
      <x:c r="I48" s="26" t="str">
        <x:v>RC0603FR-0710KL</x:v>
      </x:c>
      <x:c r="J48" s="26" t="str"/>
      <x:c r="K48" s="23" t="str">
        <x:v>https://www.digikey.com/en/products/result?keywords=RC0603FR-0710KL</x:v>
      </x:c>
      <x:c r="L48" s="26" t="str">
        <x:v>Check live DigiKey stock</x:v>
      </x:c>
      <x:c r="M48" s="27" t="n">
        <x:f>D48*'Assumptions &amp; Notes'!$B$5</x:f>
        <x:v>1</x:v>
      </x:c>
      <x:c r="N48" s="29" t="n">
        <x:f>'Assumptions &amp; Notes'!$B$6</x:f>
        <x:v>0.2</x:v>
      </x:c>
      <x:c r="O48" s="27" t="n">
        <x:f>IF(A48="YES",ROUNDUP(M48*(1+N48),0),0)</x:f>
        <x:v>2</x:v>
      </x:c>
      <x:c r="P48" s="30"/>
      <x:c r="Q48" s="31" t="str">
        <x:f>IF(P48="","",O48*P48)</x:f>
      </x:c>
      <x:c r="R48" s="28" t="str">
        <x:v>Not checked</x:v>
      </x:c>
      <x:c r="S48" s="28"/>
      <x:c r="T48" s="26" t="str">
        <x:f>IF(A48&lt;&gt;"YES","HOLD",IF(R48="Received",IF(S48&gt;=O48,"OK","SHORT"),"PENDING"))</x:f>
        <x:v>PENDING</x:v>
      </x:c>
      <x:c r="U48" s="26" t="str">
        <x:v>R19 has the same nominal value but is DNP and is excluded.</x:v>
      </x:c>
    </x:row>
    <x:row r="49" ht="48" customHeight="1">
      <x:c r="A49" s="26" t="str">
        <x:v>YES</x:v>
      </x:c>
      <x:c r="B49" s="26" t="str">
        <x:v>Resistor</x:v>
      </x:c>
      <x:c r="C49" s="26" t="str">
        <x:v>R16,R38</x:v>
      </x:c>
      <x:c r="D49" s="26" t="n">
        <x:v>2</x:v>
      </x:c>
      <x:c r="E49" s="26" t="str">
        <x:v>100 kΩ</x:v>
      </x:c>
      <x:c r="F49" s="26" t="str">
        <x:v>0603</x:v>
      </x:c>
      <x:c r="G49" s="26" t="str">
        <x:v>±1%, 0.1 W</x:v>
      </x:c>
      <x:c r="H49" s="26" t="str">
        <x:v>YAGEO</x:v>
      </x:c>
      <x:c r="I49" s="26" t="str">
        <x:v>RC0603FR-07100KL</x:v>
      </x:c>
      <x:c r="J49" s="26" t="str"/>
      <x:c r="K49" s="23" t="str">
        <x:v>https://www.digikey.com/en/products/result?keywords=RC0603FR-07100KL</x:v>
      </x:c>
      <x:c r="L49" s="26" t="str">
        <x:v>Check live DigiKey stock</x:v>
      </x:c>
      <x:c r="M49" s="27" t="n">
        <x:f>D49*'Assumptions &amp; Notes'!$B$5</x:f>
        <x:v>2</x:v>
      </x:c>
      <x:c r="N49" s="29" t="n">
        <x:f>'Assumptions &amp; Notes'!$B$6</x:f>
        <x:v>0.2</x:v>
      </x:c>
      <x:c r="O49" s="27" t="n">
        <x:f>IF(A49="YES",ROUNDUP(M49*(1+N49),0),0)</x:f>
        <x:v>3</x:v>
      </x:c>
      <x:c r="P49" s="30"/>
      <x:c r="Q49" s="31" t="str">
        <x:f>IF(P49="","",O49*P49)</x:f>
      </x:c>
      <x:c r="R49" s="28" t="str">
        <x:v>Not checked</x:v>
      </x:c>
      <x:c r="S49" s="28"/>
      <x:c r="T49" s="26" t="str">
        <x:f>IF(A49&lt;&gt;"YES","HOLD",IF(R49="Received",IF(S49&gt;=O49,"OK","SHORT"),"PENDING"))</x:f>
        <x:v>PENDING</x:v>
      </x:c>
      <x:c r="U49" s="26" t="str"/>
    </x:row>
    <x:row r="50" ht="48" customHeight="1">
      <x:c r="A50" s="26" t="str">
        <x:v>YES</x:v>
      </x:c>
      <x:c r="B50" s="26" t="str">
        <x:v>Resistor</x:v>
      </x:c>
      <x:c r="C50" s="26" t="str">
        <x:v>R3,R17,R24,R25,R29,R37</x:v>
      </x:c>
      <x:c r="D50" s="26" t="n">
        <x:v>6</x:v>
      </x:c>
      <x:c r="E50" s="26" t="str">
        <x:v>0 Ω jumper</x:v>
      </x:c>
      <x:c r="F50" s="26" t="str">
        <x:v>0603</x:v>
      </x:c>
      <x:c r="G50" s="26" t="str">
        <x:v>Jumper, 0.1 W class</x:v>
      </x:c>
      <x:c r="H50" s="26" t="str">
        <x:v>YAGEO</x:v>
      </x:c>
      <x:c r="I50" s="26" t="str">
        <x:v>RC0603JR-070RL</x:v>
      </x:c>
      <x:c r="J50" s="26" t="str"/>
      <x:c r="K50" s="23" t="str">
        <x:v>https://www.digikey.com/en/products/result?keywords=RC0603JR-070RL</x:v>
      </x:c>
      <x:c r="L50" s="26" t="str">
        <x:v>Check live DigiKey stock</x:v>
      </x:c>
      <x:c r="M50" s="27" t="n">
        <x:f>D50*'Assumptions &amp; Notes'!$B$5</x:f>
        <x:v>6</x:v>
      </x:c>
      <x:c r="N50" s="29" t="n">
        <x:f>'Assumptions &amp; Notes'!$B$6</x:f>
        <x:v>0.2</x:v>
      </x:c>
      <x:c r="O50" s="27" t="n">
        <x:f>IF(A50="YES",ROUNDUP(M50*(1+N50),0),0)</x:f>
        <x:v>8</x:v>
      </x:c>
      <x:c r="P50" s="30"/>
      <x:c r="Q50" s="31" t="str">
        <x:f>IF(P50="","",O50*P50)</x:f>
      </x:c>
      <x:c r="R50" s="28" t="str">
        <x:v>Not checked</x:v>
      </x:c>
      <x:c r="S50" s="28"/>
      <x:c r="T50" s="26" t="str">
        <x:f>IF(A50&lt;&gt;"YES","HOLD",IF(R50="Received",IF(S50&gt;=O50,"OK","SHORT"),"PENDING"))</x:f>
        <x:v>PENDING</x:v>
      </x:c>
      <x:c r="U50" s="26" t="str"/>
    </x:row>
    <x:row r="51" ht="48" customHeight="1">
      <x:c r="A51" s="26" t="str">
        <x:v>YES</x:v>
      </x:c>
      <x:c r="B51" s="26" t="str">
        <x:v>Current shunt</x:v>
      </x:c>
      <x:c r="C51" s="26" t="str">
        <x:v>R22</x:v>
      </x:c>
      <x:c r="D51" s="26" t="n">
        <x:v>1</x:v>
      </x:c>
      <x:c r="E51" s="26" t="str">
        <x:v>5 mΩ</x:v>
      </x:c>
      <x:c r="F51" s="26" t="str">
        <x:v>1206</x:v>
      </x:c>
      <x:c r="G51" s="26" t="str">
        <x:v>±1%, 1 W, ≤50 ppm/°C</x:v>
      </x:c>
      <x:c r="H51" s="26" t="str">
        <x:v>Ohmite</x:v>
      </x:c>
      <x:c r="I51" s="26" t="str">
        <x:v>PCS1206FR0050ET</x:v>
      </x:c>
      <x:c r="J51" s="26" t="str">
        <x:v>273-PCS1206FR0050ETCT-ND</x:v>
      </x:c>
      <x:c r="K51" s="23" t="str">
        <x:v>https://www.digikey.com/en/products/detail/ohmite/PCS1206FR0050ET/10670858</x:v>
      </x:c>
      <x:c r="L51" s="26" t="str">
        <x:v>DigiKey listed; recheck stock at order time</x:v>
      </x:c>
      <x:c r="M51" s="27" t="n">
        <x:f>D51*'Assumptions &amp; Notes'!$B$5</x:f>
        <x:v>1</x:v>
      </x:c>
      <x:c r="N51" s="29" t="n">
        <x:f>'Assumptions &amp; Notes'!$B$6</x:f>
        <x:v>0.2</x:v>
      </x:c>
      <x:c r="O51" s="27" t="n">
        <x:f>IF(A51="YES",ROUNDUP(M51*(1+N51),0),0)</x:f>
        <x:v>2</x:v>
      </x:c>
      <x:c r="P51" s="30"/>
      <x:c r="Q51" s="31" t="str">
        <x:f>IF(P51="","",O51*P51)</x:f>
      </x:c>
      <x:c r="R51" s="28" t="str">
        <x:v>Not checked</x:v>
      </x:c>
      <x:c r="S51" s="28"/>
      <x:c r="T51" s="26" t="str">
        <x:f>IF(A51&lt;&gt;"YES","HOLD",IF(R51="Received",IF(S51&gt;=O51,"OK","SHORT"),"PENDING"))</x:f>
        <x:v>PENDING</x:v>
      </x:c>
      <x:c r="U51" s="26" t="str">
        <x:v>CRITICAL current-sense part. Do not use the earlier LVT match with ±75 ppm/°C.</x:v>
      </x:c>
    </x:row>
    <x:row r="52" ht="48" customHeight="1">
      <x:c r="A52" s="26" t="str">
        <x:v>YES</x:v>
      </x:c>
      <x:c r="B52" s="26" t="str">
        <x:v>Current shunt</x:v>
      </x:c>
      <x:c r="C52" s="26" t="str">
        <x:v>R23</x:v>
      </x:c>
      <x:c r="D52" s="26" t="n">
        <x:v>1</x:v>
      </x:c>
      <x:c r="E52" s="26" t="str">
        <x:v>10 mΩ</x:v>
      </x:c>
      <x:c r="F52" s="26" t="str">
        <x:v>1206</x:v>
      </x:c>
      <x:c r="G52" s="26" t="str">
        <x:v>±1%, 1 W, ≤50 ppm/°C</x:v>
      </x:c>
      <x:c r="H52" s="26" t="str">
        <x:v>Stackpole Electronics</x:v>
      </x:c>
      <x:c r="I52" s="26" t="str">
        <x:v>CSNL1206FT10L0</x:v>
      </x:c>
      <x:c r="J52" s="26" t="str">
        <x:v>CSNL1206FT10L0CT-ND</x:v>
      </x:c>
      <x:c r="K52" s="23" t="str">
        <x:v>https://www.digikey.com/en/products/detail/stackpole-electronics-inc/CSNL1206FT10L0/5226371</x:v>
      </x:c>
      <x:c r="L52" s="26" t="str">
        <x:v>DigiKey listed; recheck stock at order time</x:v>
      </x:c>
      <x:c r="M52" s="27" t="n">
        <x:f>D52*'Assumptions &amp; Notes'!$B$5</x:f>
        <x:v>1</x:v>
      </x:c>
      <x:c r="N52" s="29" t="n">
        <x:f>'Assumptions &amp; Notes'!$B$6</x:f>
        <x:v>0.2</x:v>
      </x:c>
      <x:c r="O52" s="27" t="n">
        <x:f>IF(A52="YES",ROUNDUP(M52*(1+N52),0),0)</x:f>
        <x:v>2</x:v>
      </x:c>
      <x:c r="P52" s="30"/>
      <x:c r="Q52" s="31" t="str">
        <x:f>IF(P52="","",O52*P52)</x:f>
      </x:c>
      <x:c r="R52" s="28" t="str">
        <x:v>Not checked</x:v>
      </x:c>
      <x:c r="S52" s="28"/>
      <x:c r="T52" s="26" t="str">
        <x:f>IF(A52&lt;&gt;"YES","HOLD",IF(R52="Received",IF(S52&gt;=O52,"OK","SHORT"),"PENDING"))</x:f>
        <x:v>PENDING</x:v>
      </x:c>
      <x:c r="U52" s="26" t="str">
        <x:v>CRITICAL current-sense part; retain low TCR and 1 W rating.</x:v>
      </x:c>
    </x:row>
    <x:row r="53" ht="48" customHeight="1">
      <x:c r="A53" s="26" t="str">
        <x:v>YES</x:v>
      </x:c>
      <x:c r="B53" s="26" t="str">
        <x:v>Resistor</x:v>
      </x:c>
      <x:c r="C53" s="26" t="str">
        <x:v>R27,R28</x:v>
      </x:c>
      <x:c r="D53" s="26" t="n">
        <x:v>2</x:v>
      </x:c>
      <x:c r="E53" s="26" t="str">
        <x:v>10 Ω</x:v>
      </x:c>
      <x:c r="F53" s="26" t="str">
        <x:v>0402</x:v>
      </x:c>
      <x:c r="G53" s="26" t="str">
        <x:v>±1%, 0.063 W</x:v>
      </x:c>
      <x:c r="H53" s="26" t="str">
        <x:v>YAGEO</x:v>
      </x:c>
      <x:c r="I53" s="26" t="str">
        <x:v>RC0402FR-0710RL</x:v>
      </x:c>
      <x:c r="J53" s="26" t="str"/>
      <x:c r="K53" s="23" t="str">
        <x:v>https://www.digikey.com/en/products/result?keywords=RC0402FR-0710RL</x:v>
      </x:c>
      <x:c r="L53" s="26" t="str">
        <x:v>Check live DigiKey stock</x:v>
      </x:c>
      <x:c r="M53" s="27" t="n">
        <x:f>D53*'Assumptions &amp; Notes'!$B$5</x:f>
        <x:v>2</x:v>
      </x:c>
      <x:c r="N53" s="29" t="n">
        <x:f>'Assumptions &amp; Notes'!$B$6</x:f>
        <x:v>0.2</x:v>
      </x:c>
      <x:c r="O53" s="27" t="n">
        <x:f>IF(A53="YES",ROUNDUP(M53*(1+N53),0),0)</x:f>
        <x:v>3</x:v>
      </x:c>
      <x:c r="P53" s="30"/>
      <x:c r="Q53" s="31" t="str">
        <x:f>IF(P53="","",O53*P53)</x:f>
      </x:c>
      <x:c r="R53" s="28" t="str">
        <x:v>Not checked</x:v>
      </x:c>
      <x:c r="S53" s="28"/>
      <x:c r="T53" s="26" t="str">
        <x:f>IF(A53&lt;&gt;"YES","HOLD",IF(R53="Received",IF(S53&gt;=O53,"OK","SHORT"),"PENDING"))</x:f>
        <x:v>PENDING</x:v>
      </x:c>
      <x:c r="U53" s="26" t="str"/>
    </x:row>
    <x:row r="54" ht="48" customHeight="1">
      <x:c r="A54" s="26" t="str">
        <x:v>YES</x:v>
      </x:c>
      <x:c r="B54" s="26" t="str">
        <x:v>Resistor</x:v>
      </x:c>
      <x:c r="C54" s="26" t="str">
        <x:v>R32,R33</x:v>
      </x:c>
      <x:c r="D54" s="26" t="n">
        <x:v>2</x:v>
      </x:c>
      <x:c r="E54" s="26" t="str">
        <x:v>10 Ω</x:v>
      </x:c>
      <x:c r="F54" s="26" t="str">
        <x:v>0603</x:v>
      </x:c>
      <x:c r="G54" s="26" t="str">
        <x:v>±1%, 0.1 W</x:v>
      </x:c>
      <x:c r="H54" s="26" t="str">
        <x:v>YAGEO</x:v>
      </x:c>
      <x:c r="I54" s="26" t="str">
        <x:v>RC0603FR-0710RL</x:v>
      </x:c>
      <x:c r="J54" s="26" t="str"/>
      <x:c r="K54" s="23" t="str">
        <x:v>https://www.digikey.com/en/products/result?keywords=RC0603FR-0710RL</x:v>
      </x:c>
      <x:c r="L54" s="26" t="str">
        <x:v>Check live DigiKey stock</x:v>
      </x:c>
      <x:c r="M54" s="27" t="n">
        <x:f>D54*'Assumptions &amp; Notes'!$B$5</x:f>
        <x:v>2</x:v>
      </x:c>
      <x:c r="N54" s="29" t="n">
        <x:f>'Assumptions &amp; Notes'!$B$6</x:f>
        <x:v>0.2</x:v>
      </x:c>
      <x:c r="O54" s="27" t="n">
        <x:f>IF(A54="YES",ROUNDUP(M54*(1+N54),0),0)</x:f>
        <x:v>3</x:v>
      </x:c>
      <x:c r="P54" s="30"/>
      <x:c r="Q54" s="31" t="str">
        <x:f>IF(P54="","",O54*P54)</x:f>
      </x:c>
      <x:c r="R54" s="28" t="str">
        <x:v>Not checked</x:v>
      </x:c>
      <x:c r="S54" s="28"/>
      <x:c r="T54" s="26" t="str">
        <x:f>IF(A54&lt;&gt;"YES","HOLD",IF(R54="Received",IF(S54&gt;=O54,"OK","SHORT"),"PENDING"))</x:f>
        <x:v>PENDING</x:v>
      </x:c>
      <x:c r="U54" s="26" t="str"/>
    </x:row>
    <x:row r="55" ht="48" customHeight="1">
      <x:c r="A55" s="26" t="str">
        <x:v>YES</x:v>
      </x:c>
      <x:c r="B55" s="26" t="str">
        <x:v>Resistor</x:v>
      </x:c>
      <x:c r="C55" s="26" t="str">
        <x:v>R34</x:v>
      </x:c>
      <x:c r="D55" s="26" t="n">
        <x:v>1</x:v>
      </x:c>
      <x:c r="E55" s="26" t="str">
        <x:v>62 Ω</x:v>
      </x:c>
      <x:c r="F55" s="26" t="str">
        <x:v>0603</x:v>
      </x:c>
      <x:c r="G55" s="26" t="str">
        <x:v>±1%, 0.1 W</x:v>
      </x:c>
      <x:c r="H55" s="26" t="str">
        <x:v>YAGEO</x:v>
      </x:c>
      <x:c r="I55" s="26" t="str">
        <x:v>RC0603FR-0762RL</x:v>
      </x:c>
      <x:c r="J55" s="26" t="str"/>
      <x:c r="K55" s="23" t="str">
        <x:v>https://www.digikey.com/en/products/result?keywords=RC0603FR-0762RL</x:v>
      </x:c>
      <x:c r="L55" s="26" t="str">
        <x:v>Check live DigiKey stock</x:v>
      </x:c>
      <x:c r="M55" s="27" t="n">
        <x:f>D55*'Assumptions &amp; Notes'!$B$5</x:f>
        <x:v>1</x:v>
      </x:c>
      <x:c r="N55" s="29" t="n">
        <x:f>'Assumptions &amp; Notes'!$B$6</x:f>
        <x:v>0.2</x:v>
      </x:c>
      <x:c r="O55" s="27" t="n">
        <x:f>IF(A55="YES",ROUNDUP(M55*(1+N55),0),0)</x:f>
        <x:v>2</x:v>
      </x:c>
      <x:c r="P55" s="30"/>
      <x:c r="Q55" s="31" t="str">
        <x:f>IF(P55="","",O55*P55)</x:f>
      </x:c>
      <x:c r="R55" s="28" t="str">
        <x:v>Not checked</x:v>
      </x:c>
      <x:c r="S55" s="28"/>
      <x:c r="T55" s="26" t="str">
        <x:f>IF(A55&lt;&gt;"YES","HOLD",IF(R55="Received",IF(S55&gt;=O55,"OK","SHORT"),"PENDING"))</x:f>
        <x:v>PENDING</x:v>
      </x:c>
      <x:c r="U55" s="26" t="str"/>
    </x:row>
    <x:row r="56" ht="48" customHeight="1">
      <x:c r="A56" s="26" t="str">
        <x:v>YES</x:v>
      </x:c>
      <x:c r="B56" s="26" t="str">
        <x:v>Resistor</x:v>
      </x:c>
      <x:c r="C56" s="26" t="str">
        <x:v>R35</x:v>
      </x:c>
      <x:c r="D56" s="26" t="n">
        <x:v>1</x:v>
      </x:c>
      <x:c r="E56" s="26" t="str">
        <x:v>2.2 kΩ</x:v>
      </x:c>
      <x:c r="F56" s="26" t="str">
        <x:v>0603</x:v>
      </x:c>
      <x:c r="G56" s="26" t="str">
        <x:v>±1%, 0.1 W</x:v>
      </x:c>
      <x:c r="H56" s="26" t="str">
        <x:v>YAGEO</x:v>
      </x:c>
      <x:c r="I56" s="26" t="str">
        <x:v>RC0603FR-072K2L</x:v>
      </x:c>
      <x:c r="J56" s="26" t="str"/>
      <x:c r="K56" s="23" t="str">
        <x:v>https://www.digikey.com/en/products/result?keywords=RC0603FR-072K2L</x:v>
      </x:c>
      <x:c r="L56" s="26" t="str">
        <x:v>Check live DigiKey stock</x:v>
      </x:c>
      <x:c r="M56" s="27" t="n">
        <x:f>D56*'Assumptions &amp; Notes'!$B$5</x:f>
        <x:v>1</x:v>
      </x:c>
      <x:c r="N56" s="29" t="n">
        <x:f>'Assumptions &amp; Notes'!$B$6</x:f>
        <x:v>0.2</x:v>
      </x:c>
      <x:c r="O56" s="27" t="n">
        <x:f>IF(A56="YES",ROUNDUP(M56*(1+N56),0),0)</x:f>
        <x:v>2</x:v>
      </x:c>
      <x:c r="P56" s="30"/>
      <x:c r="Q56" s="31" t="str">
        <x:f>IF(P56="","",O56*P56)</x:f>
      </x:c>
      <x:c r="R56" s="28" t="str">
        <x:v>Not checked</x:v>
      </x:c>
      <x:c r="S56" s="28"/>
      <x:c r="T56" s="26" t="str">
        <x:f>IF(A56&lt;&gt;"YES","HOLD",IF(R56="Received",IF(S56&gt;=O56,"OK","SHORT"),"PENDING"))</x:f>
        <x:v>PENDING</x:v>
      </x:c>
      <x:c r="U56" s="26" t="str"/>
    </x:row>
    <x:row r="57" ht="48" customHeight="1">
      <x:c r="A57" s="26" t="str">
        <x:v>YES</x:v>
      </x:c>
      <x:c r="B57" s="26" t="str">
        <x:v>Resistor</x:v>
      </x:c>
      <x:c r="C57" s="26" t="str">
        <x:v>R36</x:v>
      </x:c>
      <x:c r="D57" s="26" t="n">
        <x:v>1</x:v>
      </x:c>
      <x:c r="E57" s="26" t="str">
        <x:v>130 kΩ</x:v>
      </x:c>
      <x:c r="F57" s="26" t="str">
        <x:v>0603</x:v>
      </x:c>
      <x:c r="G57" s="26" t="str">
        <x:v>±1%, 0.1 W</x:v>
      </x:c>
      <x:c r="H57" s="26" t="str">
        <x:v>YAGEO</x:v>
      </x:c>
      <x:c r="I57" s="26" t="str">
        <x:v>RC0603FR-07130KL</x:v>
      </x:c>
      <x:c r="J57" s="26" t="str"/>
      <x:c r="K57" s="23" t="str">
        <x:v>https://www.digikey.com/en/products/result?keywords=RC0603FR-07130KL</x:v>
      </x:c>
      <x:c r="L57" s="26" t="str">
        <x:v>Check live DigiKey stock</x:v>
      </x:c>
      <x:c r="M57" s="27" t="n">
        <x:f>D57*'Assumptions &amp; Notes'!$B$5</x:f>
        <x:v>1</x:v>
      </x:c>
      <x:c r="N57" s="29" t="n">
        <x:f>'Assumptions &amp; Notes'!$B$6</x:f>
        <x:v>0.2</x:v>
      </x:c>
      <x:c r="O57" s="27" t="n">
        <x:f>IF(A57="YES",ROUNDUP(M57*(1+N57),0),0)</x:f>
        <x:v>2</x:v>
      </x:c>
      <x:c r="P57" s="30"/>
      <x:c r="Q57" s="31" t="str">
        <x:f>IF(P57="","",O57*P57)</x:f>
      </x:c>
      <x:c r="R57" s="28" t="str">
        <x:v>Not checked</x:v>
      </x:c>
      <x:c r="S57" s="28"/>
      <x:c r="T57" s="26" t="str">
        <x:f>IF(A57&lt;&gt;"YES","HOLD",IF(R57="Received",IF(S57&gt;=O57,"OK","SHORT"),"PENDING"))</x:f>
        <x:v>PENDING</x:v>
      </x:c>
      <x:c r="U57" s="26" t="str"/>
    </x:row>
    <x:row r="58" ht="48" customHeight="1">
      <x:c r="A58" s="26" t="str">
        <x:v>YES</x:v>
      </x:c>
      <x:c r="B58" s="26" t="str">
        <x:v>Resistor</x:v>
      </x:c>
      <x:c r="C58" s="26" t="str">
        <x:v>R40</x:v>
      </x:c>
      <x:c r="D58" s="26" t="n">
        <x:v>1</x:v>
      </x:c>
      <x:c r="E58" s="26" t="str">
        <x:v>36 kΩ</x:v>
      </x:c>
      <x:c r="F58" s="26" t="str">
        <x:v>0603</x:v>
      </x:c>
      <x:c r="G58" s="26" t="str">
        <x:v>±1%, 0.1 W</x:v>
      </x:c>
      <x:c r="H58" s="26" t="str">
        <x:v>YAGEO</x:v>
      </x:c>
      <x:c r="I58" s="26" t="str">
        <x:v>RC0603FR-0736KL</x:v>
      </x:c>
      <x:c r="J58" s="26" t="str"/>
      <x:c r="K58" s="23" t="str">
        <x:v>https://www.digikey.com/en/products/result?keywords=RC0603FR-0736KL</x:v>
      </x:c>
      <x:c r="L58" s="26" t="str">
        <x:v>Check live DigiKey stock</x:v>
      </x:c>
      <x:c r="M58" s="27" t="n">
        <x:f>D58*'Assumptions &amp; Notes'!$B$5</x:f>
        <x:v>1</x:v>
      </x:c>
      <x:c r="N58" s="29" t="n">
        <x:f>'Assumptions &amp; Notes'!$B$6</x:f>
        <x:v>0.2</x:v>
      </x:c>
      <x:c r="O58" s="27" t="n">
        <x:f>IF(A58="YES",ROUNDUP(M58*(1+N58),0),0)</x:f>
        <x:v>2</x:v>
      </x:c>
      <x:c r="P58" s="30"/>
      <x:c r="Q58" s="31" t="str">
        <x:f>IF(P58="","",O58*P58)</x:f>
      </x:c>
      <x:c r="R58" s="28" t="str">
        <x:v>Not checked</x:v>
      </x:c>
      <x:c r="S58" s="28"/>
      <x:c r="T58" s="26" t="str">
        <x:f>IF(A58&lt;&gt;"YES","HOLD",IF(R58="Received",IF(S58&gt;=O58,"OK","SHORT"),"PENDING"))</x:f>
        <x:v>PENDING</x:v>
      </x:c>
      <x:c r="U58" s="26" t="str"/>
    </x:row>
    <x:row r="59" ht="48" customHeight="1">
      <x:c r="A59" s="26" t="str">
        <x:v>YES</x:v>
      </x:c>
      <x:c r="B59" s="26" t="str">
        <x:v>Resistor</x:v>
      </x:c>
      <x:c r="C59" s="26" t="str">
        <x:v>R41</x:v>
      </x:c>
      <x:c r="D59" s="26" t="n">
        <x:v>1</x:v>
      </x:c>
      <x:c r="E59" s="26" t="str">
        <x:v>3.6 kΩ</x:v>
      </x:c>
      <x:c r="F59" s="26" t="str">
        <x:v>0603</x:v>
      </x:c>
      <x:c r="G59" s="26" t="str">
        <x:v>±1%, 0.1 W</x:v>
      </x:c>
      <x:c r="H59" s="26" t="str">
        <x:v>YAGEO</x:v>
      </x:c>
      <x:c r="I59" s="26" t="str">
        <x:v>RC0603FR-073K6L</x:v>
      </x:c>
      <x:c r="J59" s="26" t="str"/>
      <x:c r="K59" s="23" t="str">
        <x:v>https://www.digikey.com/en/products/result?keywords=RC0603FR-073K6L</x:v>
      </x:c>
      <x:c r="L59" s="26" t="str">
        <x:v>Check live DigiKey stock</x:v>
      </x:c>
      <x:c r="M59" s="27" t="n">
        <x:f>D59*'Assumptions &amp; Notes'!$B$5</x:f>
        <x:v>1</x:v>
      </x:c>
      <x:c r="N59" s="29" t="n">
        <x:f>'Assumptions &amp; Notes'!$B$6</x:f>
        <x:v>0.2</x:v>
      </x:c>
      <x:c r="O59" s="27" t="n">
        <x:f>IF(A59="YES",ROUNDUP(M59*(1+N59),0),0)</x:f>
        <x:v>2</x:v>
      </x:c>
      <x:c r="P59" s="30"/>
      <x:c r="Q59" s="31" t="str">
        <x:f>IF(P59="","",O59*P59)</x:f>
      </x:c>
      <x:c r="R59" s="28" t="str">
        <x:v>Not checked</x:v>
      </x:c>
      <x:c r="S59" s="28"/>
      <x:c r="T59" s="26" t="str">
        <x:f>IF(A59&lt;&gt;"YES","HOLD",IF(R59="Received",IF(S59&gt;=O59,"OK","SHORT"),"PENDING"))</x:f>
        <x:v>PENDING</x:v>
      </x:c>
      <x:c r="U59" s="26" t="str"/>
    </x:row>
    <x:row r="60" ht="48" customHeight="1">
      <x:c r="A60" s="26" t="str">
        <x:v>YES</x:v>
      </x:c>
      <x:c r="B60" s="26" t="str">
        <x:v>Resistor</x:v>
      </x:c>
      <x:c r="C60" s="26" t="str">
        <x:v>R42</x:v>
      </x:c>
      <x:c r="D60" s="26" t="n">
        <x:v>1</x:v>
      </x:c>
      <x:c r="E60" s="26" t="str">
        <x:v>20 kΩ</x:v>
      </x:c>
      <x:c r="F60" s="26" t="str">
        <x:v>0603</x:v>
      </x:c>
      <x:c r="G60" s="26" t="str">
        <x:v>±1%, 0.1 W</x:v>
      </x:c>
      <x:c r="H60" s="26" t="str">
        <x:v>YAGEO</x:v>
      </x:c>
      <x:c r="I60" s="26" t="str">
        <x:v>RC0603FR-0720KL</x:v>
      </x:c>
      <x:c r="J60" s="26" t="str"/>
      <x:c r="K60" s="23" t="str">
        <x:v>https://www.digikey.com/en/products/result?keywords=RC0603FR-0720KL</x:v>
      </x:c>
      <x:c r="L60" s="26" t="str">
        <x:v>Check live DigiKey stock</x:v>
      </x:c>
      <x:c r="M60" s="27" t="n">
        <x:f>D60*'Assumptions &amp; Notes'!$B$5</x:f>
        <x:v>1</x:v>
      </x:c>
      <x:c r="N60" s="29" t="n">
        <x:f>'Assumptions &amp; Notes'!$B$6</x:f>
        <x:v>0.2</x:v>
      </x:c>
      <x:c r="O60" s="27" t="n">
        <x:f>IF(A60="YES",ROUNDUP(M60*(1+N60),0),0)</x:f>
        <x:v>2</x:v>
      </x:c>
      <x:c r="P60" s="30"/>
      <x:c r="Q60" s="31" t="str">
        <x:f>IF(P60="","",O60*P60)</x:f>
      </x:c>
      <x:c r="R60" s="28" t="str">
        <x:v>Not checked</x:v>
      </x:c>
      <x:c r="S60" s="28"/>
      <x:c r="T60" s="26" t="str">
        <x:f>IF(A60&lt;&gt;"YES","HOLD",IF(R60="Received",IF(S60&gt;=O60,"OK","SHORT"),"PENDING"))</x:f>
        <x:v>PENDING</x:v>
      </x:c>
      <x:c r="U60" s="26" t="str"/>
    </x:row>
  </x:sheetData>
  <x:mergeCells>
    <x:mergeCell ref="A1:U1"/>
    <x:mergeCell ref="A2:U2"/>
  </x:mergeCells>
  <x:conditionalFormatting sqref="A5:U60">
    <x:cfRule type="expression" dxfId="0" priority="1">
      <x:formula>$A5="CHECK"</x:formula>
    </x:cfRule>
  </x:conditionalFormatting>
  <x:conditionalFormatting sqref="T5:T60">
    <x:cfRule type="containsText" dxfId="1" priority="2" operator="containsText" text="SHORT"/>
    <x:cfRule type="containsText" dxfId="2" priority="3" operator="containsText" text="OK"/>
  </x:conditionalFormatting>
  <x:dataValidations count="2">
    <x:dataValidation type="list" sqref="A5:A60">
      <x:formula1>"YES,CHECK,NO"</x:formula1>
    </x:dataValidation>
    <x:dataValidation type="list" sqref="R5:R60">
      <x:formula1>"Not checked,In cart,Ordered,Received,Hold"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9cb403d0f145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1" hidden="0" customWidth="1"/>
    <x:col min="4" max="4" width="22" hidden="0" customWidth="1"/>
    <x:col min="5" max="5" width="16" hidden="0" customWidth="1"/>
    <x:col min="6" max="6" width="34" hidden="0" customWidth="1"/>
    <x:col min="7" max="7" width="22" hidden="0" customWidth="1"/>
    <x:col min="8" max="8" width="62" hidden="0" customWidth="1"/>
    <x:col min="9" max="9" width="14" hidden="0" customWidth="1"/>
  </x:cols>
  <x:sheetData>
    <x:row r="1" ht="30" customHeight="1">
      <x:c r="A1" s="4" t="str">
        <x:v>All components — one row per reference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Use this sheet to prove that every schematic/PCB reference is accounted for. Filter Buy Status to isolate fitted, held, DNP or PCB-only items.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Reference</x:v>
      </x:c>
      <x:c r="B4" s="14" t="str">
        <x:v>Type</x:v>
      </x:c>
      <x:c r="C4" s="14" t="str">
        <x:v>Value / function</x:v>
      </x:c>
      <x:c r="D4" s="14" t="str">
        <x:v>Package / footprint</x:v>
      </x:c>
      <x:c r="E4" s="14" t="str">
        <x:v>Purchase group</x:v>
      </x:c>
      <x:c r="F4" s="14" t="str">
        <x:v>Recommended MPN</x:v>
      </x:c>
      <x:c r="G4" s="14" t="str">
        <x:v>Buy status</x:v>
      </x:c>
      <x:c r="H4" s="14" t="str">
        <x:v>Reason / note</x:v>
      </x:c>
      <x:c r="I4" s="14" t="str">
        <x:v>Verified date</x:v>
      </x:c>
    </x:row>
    <x:row r="5" ht="34" customHeight="1">
      <x:c r="A5" s="26" t="str">
        <x:v>C1</x:v>
      </x:c>
      <x:c r="B5" s="26" t="str">
        <x:v>Capacitor</x:v>
      </x:c>
      <x:c r="C5" s="26" t="str">
        <x:v>100 nF</x:v>
      </x:c>
      <x:c r="D5" s="26" t="str">
        <x:v>0603</x:v>
      </x:c>
      <x:c r="E5" s="26" t="str">
        <x:v>CAP-01</x:v>
      </x:c>
      <x:c r="F5" s="26" t="str">
        <x:v>CC0603KRX7R9BB104</x:v>
      </x:c>
      <x:c r="G5" s="26" t="str">
        <x:v>Buy</x:v>
      </x:c>
      <x:c r="H5" s="26" t="str">
        <x:v>Check live DigiKey stock</x:v>
      </x:c>
      <x:c r="I5" s="26" t="str">
        <x:v>2026-07-21</x:v>
      </x:c>
    </x:row>
    <x:row r="6" ht="34" customHeight="1">
      <x:c r="A6" s="26" t="str">
        <x:v>C2</x:v>
      </x:c>
      <x:c r="B6" s="26" t="str">
        <x:v>Capacitor</x:v>
      </x:c>
      <x:c r="C6" s="26" t="str">
        <x:v>2.2 µF</x:v>
      </x:c>
      <x:c r="D6" s="26" t="str">
        <x:v>0603</x:v>
      </x:c>
      <x:c r="E6" s="26" t="str">
        <x:v>CAP-07</x:v>
      </x:c>
      <x:c r="F6" s="26" t="str">
        <x:v>CL10A225KO8NNNC</x:v>
      </x:c>
      <x:c r="G6" s="26" t="str">
        <x:v>Buy</x:v>
      </x:c>
      <x:c r="H6" s="26" t="str">
        <x:v>DigiKey listed; recheck stock at order time</x:v>
      </x:c>
      <x:c r="I6" s="26" t="str">
        <x:v>2026-07-21</x:v>
      </x:c>
    </x:row>
    <x:row r="7" ht="34" customHeight="1">
      <x:c r="A7" s="26" t="str">
        <x:v>C3</x:v>
      </x:c>
      <x:c r="B7" s="26" t="str">
        <x:v>Capacitor</x:v>
      </x:c>
      <x:c r="C7" s="26" t="str">
        <x:v>1 nF</x:v>
      </x:c>
      <x:c r="D7" s="26" t="str">
        <x:v>0603</x:v>
      </x:c>
      <x:c r="E7" s="26" t="str">
        <x:v>CAP-13</x:v>
      </x:c>
      <x:c r="F7" s="26" t="str">
        <x:v>CC0603KRX7R9BB102</x:v>
      </x:c>
      <x:c r="G7" s="26" t="str">
        <x:v>Buy</x:v>
      </x:c>
      <x:c r="H7" s="26" t="str">
        <x:v>Check live DigiKey stock</x:v>
      </x:c>
      <x:c r="I7" s="26" t="str">
        <x:v>2026-07-21</x:v>
      </x:c>
    </x:row>
    <x:row r="8" ht="34" customHeight="1">
      <x:c r="A8" s="26" t="str">
        <x:v>C4</x:v>
      </x:c>
      <x:c r="B8" s="26" t="str">
        <x:v>Capacitor</x:v>
      </x:c>
      <x:c r="C8" s="26" t="str">
        <x:v>470 nF</x:v>
      </x:c>
      <x:c r="D8" s="26" t="str">
        <x:v>0603</x:v>
      </x:c>
      <x:c r="E8" s="26" t="str">
        <x:v>CAP-17</x:v>
      </x:c>
      <x:c r="F8" s="26" t="str">
        <x:v>CL10B474KA8NNNC</x:v>
      </x:c>
      <x:c r="G8" s="26" t="str">
        <x:v>Buy</x:v>
      </x:c>
      <x:c r="H8" s="26" t="str">
        <x:v>Check live DigiKey stock</x:v>
      </x:c>
      <x:c r="I8" s="26" t="str">
        <x:v>2026-07-21</x:v>
      </x:c>
    </x:row>
    <x:row r="9" ht="34" customHeight="1">
      <x:c r="A9" s="26" t="str">
        <x:v>C5</x:v>
      </x:c>
      <x:c r="B9" s="26" t="str">
        <x:v>Capacitor</x:v>
      </x:c>
      <x:c r="C9" s="26" t="str">
        <x:v>100 nF</x:v>
      </x:c>
      <x:c r="D9" s="26" t="str">
        <x:v>0603</x:v>
      </x:c>
      <x:c r="E9" s="26" t="str">
        <x:v>CAP-01</x:v>
      </x:c>
      <x:c r="F9" s="26" t="str">
        <x:v>CC0603KRX7R9BB104</x:v>
      </x:c>
      <x:c r="G9" s="26" t="str">
        <x:v>Buy</x:v>
      </x:c>
      <x:c r="H9" s="26" t="str">
        <x:v>Check live DigiKey stock</x:v>
      </x:c>
      <x:c r="I9" s="26" t="str">
        <x:v>2026-07-21</x:v>
      </x:c>
    </x:row>
    <x:row r="10" ht="34" customHeight="1">
      <x:c r="A10" s="26" t="str">
        <x:v>C6</x:v>
      </x:c>
      <x:c r="B10" s="26" t="str">
        <x:v>Capacitor</x:v>
      </x:c>
      <x:c r="C10" s="26" t="str">
        <x:v>1 µF</x:v>
      </x:c>
      <x:c r="D10" s="26" t="str">
        <x:v>0603</x:v>
      </x:c>
      <x:c r="E10" s="26" t="str">
        <x:v>CAP-06</x:v>
      </x:c>
      <x:c r="F10" s="26" t="str">
        <x:v>CL10A105KB8NNNC</x:v>
      </x:c>
      <x:c r="G10" s="26" t="str">
        <x:v>Buy</x:v>
      </x:c>
      <x:c r="H10" s="26" t="str">
        <x:v>Check live DigiKey stock</x:v>
      </x:c>
      <x:c r="I10" s="26" t="str">
        <x:v>2026-07-21</x:v>
      </x:c>
    </x:row>
    <x:row r="11" ht="34" customHeight="1">
      <x:c r="A11" s="26" t="str">
        <x:v>C7</x:v>
      </x:c>
      <x:c r="B11" s="26" t="str">
        <x:v>Capacitor</x:v>
      </x:c>
      <x:c r="C11" s="26" t="str">
        <x:v>100 nF</x:v>
      </x:c>
      <x:c r="D11" s="26" t="str">
        <x:v>0603</x:v>
      </x:c>
      <x:c r="E11" s="26" t="str">
        <x:v>CAP-01</x:v>
      </x:c>
      <x:c r="F11" s="26" t="str">
        <x:v>CC0603KRX7R9BB104</x:v>
      </x:c>
      <x:c r="G11" s="26" t="str">
        <x:v>Buy</x:v>
      </x:c>
      <x:c r="H11" s="26" t="str">
        <x:v>Check live DigiKey stock</x:v>
      </x:c>
      <x:c r="I11" s="26" t="str">
        <x:v>2026-07-21</x:v>
      </x:c>
    </x:row>
    <x:row r="12" ht="34" customHeight="1">
      <x:c r="A12" s="26" t="str">
        <x:v>C8</x:v>
      </x:c>
      <x:c r="B12" s="26" t="str">
        <x:v>Capacitor</x:v>
      </x:c>
      <x:c r="C12" s="26" t="str">
        <x:v>100 nF</x:v>
      </x:c>
      <x:c r="D12" s="26" t="str">
        <x:v>0402</x:v>
      </x:c>
      <x:c r="E12" s="26" t="str">
        <x:v>CAP-09</x:v>
      </x:c>
      <x:c r="F12" s="26" t="str">
        <x:v>CC0402KRX7R7BB104</x:v>
      </x:c>
      <x:c r="G12" s="26" t="str">
        <x:v>Buy</x:v>
      </x:c>
      <x:c r="H12" s="26" t="str">
        <x:v>Check live DigiKey stock</x:v>
      </x:c>
      <x:c r="I12" s="26" t="str">
        <x:v>2026-07-21</x:v>
      </x:c>
    </x:row>
    <x:row r="13" ht="34" customHeight="1">
      <x:c r="A13" s="26" t="str">
        <x:v>C9</x:v>
      </x:c>
      <x:c r="B13" s="26" t="str">
        <x:v>Capacitor</x:v>
      </x:c>
      <x:c r="C13" s="26" t="str">
        <x:v>10 pF</x:v>
      </x:c>
      <x:c r="D13" s="26" t="str">
        <x:v>0402</x:v>
      </x:c>
      <x:c r="E13" s="26" t="str">
        <x:v>DNP</x:v>
      </x:c>
      <x:c r="F13" s="26" t="str">
        <x:v>CC0402JRNPO9BN100</x:v>
      </x:c>
      <x:c r="G13" s="26" t="str">
        <x:v>DNP — do not buy</x:v>
      </x:c>
      <x:c r="H13" s="26" t="str">
        <x:v>Marked do-not-populate in schematic.</x:v>
      </x:c>
      <x:c r="I13" s="26" t="str">
        <x:v>2026-07-21</x:v>
      </x:c>
    </x:row>
    <x:row r="14" ht="34" customHeight="1">
      <x:c r="A14" s="26" t="str">
        <x:v>C10</x:v>
      </x:c>
      <x:c r="B14" s="26" t="str">
        <x:v>Capacitor</x:v>
      </x:c>
      <x:c r="C14" s="26" t="str">
        <x:v>22 nF</x:v>
      </x:c>
      <x:c r="D14" s="26" t="str">
        <x:v>0603</x:v>
      </x:c>
      <x:c r="E14" s="26" t="str">
        <x:v>CAP-02</x:v>
      </x:c>
      <x:c r="F14" s="26" t="str">
        <x:v>CC0603KRX7R9BB223</x:v>
      </x:c>
      <x:c r="G14" s="26" t="str">
        <x:v>Buy</x:v>
      </x:c>
      <x:c r="H14" s="26" t="str">
        <x:v>Check live DigiKey stock</x:v>
      </x:c>
      <x:c r="I14" s="26" t="str">
        <x:v>2026-07-21</x:v>
      </x:c>
    </x:row>
    <x:row r="15" ht="34" customHeight="1">
      <x:c r="A15" s="26" t="str">
        <x:v>C11</x:v>
      </x:c>
      <x:c r="B15" s="26" t="str">
        <x:v>Capacitor</x:v>
      </x:c>
      <x:c r="C15" s="26" t="str">
        <x:v>220 nF</x:v>
      </x:c>
      <x:c r="D15" s="26" t="str">
        <x:v>0603</x:v>
      </x:c>
      <x:c r="E15" s="26" t="str">
        <x:v>CAP-03</x:v>
      </x:c>
      <x:c r="F15" s="26" t="str">
        <x:v>CC0603KRX7R8BB224</x:v>
      </x:c>
      <x:c r="G15" s="26" t="str">
        <x:v>Buy</x:v>
      </x:c>
      <x:c r="H15" s="26" t="str">
        <x:v>Check live DigiKey stock</x:v>
      </x:c>
      <x:c r="I15" s="26" t="str">
        <x:v>2026-07-21</x:v>
      </x:c>
    </x:row>
    <x:row r="16" ht="34" customHeight="1">
      <x:c r="A16" s="26" t="str">
        <x:v>C12</x:v>
      </x:c>
      <x:c r="B16" s="26" t="str">
        <x:v>Capacitor</x:v>
      </x:c>
      <x:c r="C16" s="26" t="str">
        <x:v>22 nF</x:v>
      </x:c>
      <x:c r="D16" s="26" t="str">
        <x:v>0603</x:v>
      </x:c>
      <x:c r="E16" s="26" t="str">
        <x:v>CAP-02</x:v>
      </x:c>
      <x:c r="F16" s="26" t="str">
        <x:v>CC0603KRX7R9BB223</x:v>
      </x:c>
      <x:c r="G16" s="26" t="str">
        <x:v>Buy</x:v>
      </x:c>
      <x:c r="H16" s="26" t="str">
        <x:v>Check live DigiKey stock</x:v>
      </x:c>
      <x:c r="I16" s="26" t="str">
        <x:v>2026-07-21</x:v>
      </x:c>
    </x:row>
    <x:row r="17" ht="34" customHeight="1">
      <x:c r="A17" s="26" t="str">
        <x:v>C13</x:v>
      </x:c>
      <x:c r="B17" s="26" t="str">
        <x:v>Capacitor</x:v>
      </x:c>
      <x:c r="C17" s="26" t="str">
        <x:v>100 nF</x:v>
      </x:c>
      <x:c r="D17" s="26" t="str">
        <x:v>0603</x:v>
      </x:c>
      <x:c r="E17" s="26" t="str">
        <x:v>CAP-01</x:v>
      </x:c>
      <x:c r="F17" s="26" t="str">
        <x:v>CC0603KRX7R9BB104</x:v>
      </x:c>
      <x:c r="G17" s="26" t="str">
        <x:v>Buy</x:v>
      </x:c>
      <x:c r="H17" s="26" t="str">
        <x:v>Check live DigiKey stock</x:v>
      </x:c>
      <x:c r="I17" s="26" t="str">
        <x:v>2026-07-21</x:v>
      </x:c>
    </x:row>
    <x:row r="18" ht="34" customHeight="1">
      <x:c r="A18" s="26" t="str">
        <x:v>C14</x:v>
      </x:c>
      <x:c r="B18" s="26" t="str">
        <x:v>Capacitor</x:v>
      </x:c>
      <x:c r="C18" s="26" t="str">
        <x:v>330 pF</x:v>
      </x:c>
      <x:c r="D18" s="26" t="str">
        <x:v>0603</x:v>
      </x:c>
      <x:c r="E18" s="26" t="str">
        <x:v>DNP</x:v>
      </x:c>
      <x:c r="F18" s="26" t="str">
        <x:v>CC0603JRNPO9BN331</x:v>
      </x:c>
      <x:c r="G18" s="26" t="str">
        <x:v>DNP — do not buy</x:v>
      </x:c>
      <x:c r="H18" s="26" t="str">
        <x:v>Marked do-not-populate in schematic.</x:v>
      </x:c>
      <x:c r="I18" s="26" t="str">
        <x:v>2026-07-21</x:v>
      </x:c>
    </x:row>
    <x:row r="19" ht="34" customHeight="1">
      <x:c r="A19" s="26" t="str">
        <x:v>C15</x:v>
      </x:c>
      <x:c r="B19" s="26" t="str">
        <x:v>Capacitor</x:v>
      </x:c>
      <x:c r="C19" s="26" t="str">
        <x:v>150 pF</x:v>
      </x:c>
      <x:c r="D19" s="26" t="str">
        <x:v>0603</x:v>
      </x:c>
      <x:c r="E19" s="26" t="str">
        <x:v>CAP-04</x:v>
      </x:c>
      <x:c r="F19" s="26" t="str">
        <x:v>CC0603KRX7R9BB151</x:v>
      </x:c>
      <x:c r="G19" s="26" t="str">
        <x:v>Buy</x:v>
      </x:c>
      <x:c r="H19" s="26" t="str">
        <x:v>Check live DigiKey stock</x:v>
      </x:c>
      <x:c r="I19" s="26" t="str">
        <x:v>2026-07-21</x:v>
      </x:c>
    </x:row>
    <x:row r="20" ht="34" customHeight="1">
      <x:c r="A20" s="26" t="str">
        <x:v>C16</x:v>
      </x:c>
      <x:c r="B20" s="26" t="str">
        <x:v>Capacitor</x:v>
      </x:c>
      <x:c r="C20" s="26" t="str">
        <x:v>10 nF</x:v>
      </x:c>
      <x:c r="D20" s="26" t="str">
        <x:v>0603</x:v>
      </x:c>
      <x:c r="E20" s="26" t="str">
        <x:v>DNP</x:v>
      </x:c>
      <x:c r="F20" s="26" t="str">
        <x:v>CC0603KRX7R9BB103</x:v>
      </x:c>
      <x:c r="G20" s="26" t="str">
        <x:v>DNP — do not buy</x:v>
      </x:c>
      <x:c r="H20" s="26" t="str">
        <x:v>Marked do-not-populate in schematic; active 10 nF group excludes it.</x:v>
      </x:c>
      <x:c r="I20" s="26" t="str">
        <x:v>2026-07-21</x:v>
      </x:c>
    </x:row>
    <x:row r="21" ht="34" customHeight="1">
      <x:c r="A21" s="26" t="str">
        <x:v>C17</x:v>
      </x:c>
      <x:c r="B21" s="26" t="str">
        <x:v>Capacitor</x:v>
      </x:c>
      <x:c r="C21" s="26" t="str">
        <x:v>100 nF</x:v>
      </x:c>
      <x:c r="D21" s="26" t="str">
        <x:v>0603</x:v>
      </x:c>
      <x:c r="E21" s="26" t="str">
        <x:v>CAP-01</x:v>
      </x:c>
      <x:c r="F21" s="26" t="str">
        <x:v>CC0603KRX7R9BB104</x:v>
      </x:c>
      <x:c r="G21" s="26" t="str">
        <x:v>Buy</x:v>
      </x:c>
      <x:c r="H21" s="26" t="str">
        <x:v>Check live DigiKey stock</x:v>
      </x:c>
      <x:c r="I21" s="26" t="str">
        <x:v>2026-07-21</x:v>
      </x:c>
    </x:row>
    <x:row r="22" ht="34" customHeight="1">
      <x:c r="A22" s="26" t="str">
        <x:v>C18</x:v>
      </x:c>
      <x:c r="B22" s="26" t="str">
        <x:v>Capacitor</x:v>
      </x:c>
      <x:c r="C22" s="26" t="str">
        <x:v>1 µF</x:v>
      </x:c>
      <x:c r="D22" s="26" t="str">
        <x:v>0603</x:v>
      </x:c>
      <x:c r="E22" s="26" t="str">
        <x:v>CAP-06</x:v>
      </x:c>
      <x:c r="F22" s="26" t="str">
        <x:v>CL10A105KB8NNNC</x:v>
      </x:c>
      <x:c r="G22" s="26" t="str">
        <x:v>Buy</x:v>
      </x:c>
      <x:c r="H22" s="26" t="str">
        <x:v>Check live DigiKey stock</x:v>
      </x:c>
      <x:c r="I22" s="26" t="str">
        <x:v>2026-07-21</x:v>
      </x:c>
    </x:row>
    <x:row r="23" ht="34" customHeight="1">
      <x:c r="A23" s="26" t="str">
        <x:v>C19</x:v>
      </x:c>
      <x:c r="B23" s="26" t="str">
        <x:v>Capacitor</x:v>
      </x:c>
      <x:c r="C23" s="26" t="str">
        <x:v>100 nF</x:v>
      </x:c>
      <x:c r="D23" s="26" t="str">
        <x:v>0603</x:v>
      </x:c>
      <x:c r="E23" s="26" t="str">
        <x:v>CAP-01</x:v>
      </x:c>
      <x:c r="F23" s="26" t="str">
        <x:v>CC0603KRX7R9BB104</x:v>
      </x:c>
      <x:c r="G23" s="26" t="str">
        <x:v>Buy</x:v>
      </x:c>
      <x:c r="H23" s="26" t="str">
        <x:v>Check live DigiKey stock</x:v>
      </x:c>
      <x:c r="I23" s="26" t="str">
        <x:v>2026-07-21</x:v>
      </x:c>
    </x:row>
    <x:row r="24" ht="34" customHeight="1">
      <x:c r="A24" s="26" t="str">
        <x:v>C20</x:v>
      </x:c>
      <x:c r="B24" s="26" t="str">
        <x:v>Capacitor</x:v>
      </x:c>
      <x:c r="C24" s="26" t="str">
        <x:v>22 µF</x:v>
      </x:c>
      <x:c r="D24" s="26" t="str">
        <x:v>1206</x:v>
      </x:c>
      <x:c r="E24" s="26" t="str">
        <x:v>CAP-08</x:v>
      </x:c>
      <x:c r="F24" s="26" t="str">
        <x:v>CL31X226KAHN3NE</x:v>
      </x:c>
      <x:c r="G24" s="26" t="str">
        <x:v>Buy</x:v>
      </x:c>
      <x:c r="H24" s="26" t="str">
        <x:v>Check live DigiKey stock</x:v>
      </x:c>
      <x:c r="I24" s="26" t="str">
        <x:v>2026-07-21</x:v>
      </x:c>
    </x:row>
    <x:row r="25" ht="34" customHeight="1">
      <x:c r="A25" s="26" t="str">
        <x:v>C21</x:v>
      </x:c>
      <x:c r="B25" s="26" t="str">
        <x:v>Capacitor</x:v>
      </x:c>
      <x:c r="C25" s="26" t="str">
        <x:v>22 µF</x:v>
      </x:c>
      <x:c r="D25" s="26" t="str">
        <x:v>1206</x:v>
      </x:c>
      <x:c r="E25" s="26" t="str">
        <x:v>CAP-08</x:v>
      </x:c>
      <x:c r="F25" s="26" t="str">
        <x:v>CL31X226KAHN3NE</x:v>
      </x:c>
      <x:c r="G25" s="26" t="str">
        <x:v>Buy</x:v>
      </x:c>
      <x:c r="H25" s="26" t="str">
        <x:v>Check live DigiKey stock</x:v>
      </x:c>
      <x:c r="I25" s="26" t="str">
        <x:v>2026-07-21</x:v>
      </x:c>
    </x:row>
    <x:row r="26" ht="34" customHeight="1">
      <x:c r="A26" s="26" t="str">
        <x:v>C22</x:v>
      </x:c>
      <x:c r="B26" s="26" t="str">
        <x:v>Capacitor</x:v>
      </x:c>
      <x:c r="C26" s="26" t="str">
        <x:v>100 nF</x:v>
      </x:c>
      <x:c r="D26" s="26" t="str">
        <x:v>0402</x:v>
      </x:c>
      <x:c r="E26" s="26" t="str">
        <x:v>CAP-09</x:v>
      </x:c>
      <x:c r="F26" s="26" t="str">
        <x:v>CC0402KRX7R7BB104</x:v>
      </x:c>
      <x:c r="G26" s="26" t="str">
        <x:v>Buy</x:v>
      </x:c>
      <x:c r="H26" s="26" t="str">
        <x:v>Check live DigiKey stock</x:v>
      </x:c>
      <x:c r="I26" s="26" t="str">
        <x:v>2026-07-21</x:v>
      </x:c>
    </x:row>
    <x:row r="27" ht="34" customHeight="1">
      <x:c r="A27" s="26" t="str">
        <x:v>C23</x:v>
      </x:c>
      <x:c r="B27" s="26" t="str">
        <x:v>Capacitor</x:v>
      </x:c>
      <x:c r="C27" s="26" t="str">
        <x:v>22 µF</x:v>
      </x:c>
      <x:c r="D27" s="26" t="str">
        <x:v>1206</x:v>
      </x:c>
      <x:c r="E27" s="26" t="str">
        <x:v>CAP-08</x:v>
      </x:c>
      <x:c r="F27" s="26" t="str">
        <x:v>CL31X226KAHN3NE</x:v>
      </x:c>
      <x:c r="G27" s="26" t="str">
        <x:v>Buy</x:v>
      </x:c>
      <x:c r="H27" s="26" t="str">
        <x:v>Check live DigiKey stock</x:v>
      </x:c>
      <x:c r="I27" s="26" t="str">
        <x:v>2026-07-21</x:v>
      </x:c>
    </x:row>
    <x:row r="28" ht="34" customHeight="1">
      <x:c r="A28" s="26" t="str">
        <x:v>C24</x:v>
      </x:c>
      <x:c r="B28" s="26" t="str">
        <x:v>Capacitor</x:v>
      </x:c>
      <x:c r="C28" s="26" t="str">
        <x:v>22 µF</x:v>
      </x:c>
      <x:c r="D28" s="26" t="str">
        <x:v>1206</x:v>
      </x:c>
      <x:c r="E28" s="26" t="str">
        <x:v>CAP-08</x:v>
      </x:c>
      <x:c r="F28" s="26" t="str">
        <x:v>CL31X226KAHN3NE</x:v>
      </x:c>
      <x:c r="G28" s="26" t="str">
        <x:v>Buy</x:v>
      </x:c>
      <x:c r="H28" s="26" t="str">
        <x:v>Check live DigiKey stock</x:v>
      </x:c>
      <x:c r="I28" s="26" t="str">
        <x:v>2026-07-21</x:v>
      </x:c>
    </x:row>
    <x:row r="29" ht="34" customHeight="1">
      <x:c r="A29" s="26" t="str">
        <x:v>C25</x:v>
      </x:c>
      <x:c r="B29" s="26" t="str">
        <x:v>Capacitor</x:v>
      </x:c>
      <x:c r="C29" s="26" t="str">
        <x:v>22 µF</x:v>
      </x:c>
      <x:c r="D29" s="26" t="str">
        <x:v>1206</x:v>
      </x:c>
      <x:c r="E29" s="26" t="str">
        <x:v>CAP-08</x:v>
      </x:c>
      <x:c r="F29" s="26" t="str">
        <x:v>CL31X226KAHN3NE</x:v>
      </x:c>
      <x:c r="G29" s="26" t="str">
        <x:v>Buy</x:v>
      </x:c>
      <x:c r="H29" s="26" t="str">
        <x:v>Check live DigiKey stock</x:v>
      </x:c>
      <x:c r="I29" s="26" t="str">
        <x:v>2026-07-21</x:v>
      </x:c>
    </x:row>
    <x:row r="30" ht="34" customHeight="1">
      <x:c r="A30" s="26" t="str">
        <x:v>C26</x:v>
      </x:c>
      <x:c r="B30" s="26" t="str">
        <x:v>Capacitor</x:v>
      </x:c>
      <x:c r="C30" s="26" t="str">
        <x:v>22 µF</x:v>
      </x:c>
      <x:c r="D30" s="26" t="str">
        <x:v>1206</x:v>
      </x:c>
      <x:c r="E30" s="26" t="str">
        <x:v>CAP-08</x:v>
      </x:c>
      <x:c r="F30" s="26" t="str">
        <x:v>CL31X226KAHN3NE</x:v>
      </x:c>
      <x:c r="G30" s="26" t="str">
        <x:v>Buy</x:v>
      </x:c>
      <x:c r="H30" s="26" t="str">
        <x:v>Check live DigiKey stock</x:v>
      </x:c>
      <x:c r="I30" s="26" t="str">
        <x:v>2026-07-21</x:v>
      </x:c>
    </x:row>
    <x:row r="31" ht="34" customHeight="1">
      <x:c r="A31" s="26" t="str">
        <x:v>C27</x:v>
      </x:c>
      <x:c r="B31" s="26" t="str">
        <x:v>Capacitor</x:v>
      </x:c>
      <x:c r="C31" s="26" t="str">
        <x:v>4.7 µF</x:v>
      </x:c>
      <x:c r="D31" s="26" t="str">
        <x:v>0805</x:v>
      </x:c>
      <x:c r="E31" s="26" t="str">
        <x:v>CAP-11</x:v>
      </x:c>
      <x:c r="F31" s="26" t="str">
        <x:v>CL21A475KAQNNNE</x:v>
      </x:c>
      <x:c r="G31" s="26" t="str">
        <x:v>Buy</x:v>
      </x:c>
      <x:c r="H31" s="26" t="str">
        <x:v>Check live DigiKey stock</x:v>
      </x:c>
      <x:c r="I31" s="26" t="str">
        <x:v>2026-07-21</x:v>
      </x:c>
    </x:row>
    <x:row r="32" ht="34" customHeight="1">
      <x:c r="A32" s="26" t="str">
        <x:v>C28</x:v>
      </x:c>
      <x:c r="B32" s="26" t="str">
        <x:v>Capacitor</x:v>
      </x:c>
      <x:c r="C32" s="26" t="str">
        <x:v>10 nF</x:v>
      </x:c>
      <x:c r="D32" s="26" t="str">
        <x:v>0603</x:v>
      </x:c>
      <x:c r="E32" s="26" t="str">
        <x:v>CAP-05</x:v>
      </x:c>
      <x:c r="F32" s="26" t="str">
        <x:v>CC0603KRX7R9BB103</x:v>
      </x:c>
      <x:c r="G32" s="26" t="str">
        <x:v>Buy</x:v>
      </x:c>
      <x:c r="H32" s="26" t="str">
        <x:v>Check live DigiKey stock</x:v>
      </x:c>
      <x:c r="I32" s="26" t="str">
        <x:v>2026-07-21</x:v>
      </x:c>
    </x:row>
    <x:row r="33" ht="34" customHeight="1">
      <x:c r="A33" s="26" t="str">
        <x:v>C29</x:v>
      </x:c>
      <x:c r="B33" s="26" t="str">
        <x:v>Capacitor</x:v>
      </x:c>
      <x:c r="C33" s="26" t="str">
        <x:v>22 µF</x:v>
      </x:c>
      <x:c r="D33" s="26" t="str">
        <x:v>0805</x:v>
      </x:c>
      <x:c r="E33" s="26" t="str">
        <x:v>CAP-12</x:v>
      </x:c>
      <x:c r="F33" s="26" t="str">
        <x:v>CC0805MKX5R8BB226</x:v>
      </x:c>
      <x:c r="G33" s="26" t="str">
        <x:v>Buy</x:v>
      </x:c>
      <x:c r="H33" s="26" t="str">
        <x:v>Check live DigiKey stock</x:v>
      </x:c>
      <x:c r="I33" s="26" t="str">
        <x:v>2026-07-21</x:v>
      </x:c>
    </x:row>
    <x:row r="34" ht="34" customHeight="1">
      <x:c r="A34" s="26" t="str">
        <x:v>C30</x:v>
      </x:c>
      <x:c r="B34" s="26" t="str">
        <x:v>Capacitor</x:v>
      </x:c>
      <x:c r="C34" s="26" t="str">
        <x:v>22 µF</x:v>
      </x:c>
      <x:c r="D34" s="26" t="str">
        <x:v>0603</x:v>
      </x:c>
      <x:c r="E34" s="26" t="str">
        <x:v>CAP-15</x:v>
      </x:c>
      <x:c r="F34" s="26" t="str">
        <x:v>CL10A226MQ8NRNC</x:v>
      </x:c>
      <x:c r="G34" s="26" t="str">
        <x:v>Buy</x:v>
      </x:c>
      <x:c r="H34" s="26" t="str">
        <x:v>Check effective capacitance under DC bias; use only on its low-voltage rail.</x:v>
      </x:c>
      <x:c r="I34" s="26" t="str">
        <x:v>2026-07-21</x:v>
      </x:c>
    </x:row>
    <x:row r="35" ht="34" customHeight="1">
      <x:c r="A35" s="26" t="str">
        <x:v>C31</x:v>
      </x:c>
      <x:c r="B35" s="26" t="str">
        <x:v>Capacitor</x:v>
      </x:c>
      <x:c r="C35" s="26" t="str">
        <x:v>100 nF</x:v>
      </x:c>
      <x:c r="D35" s="26" t="str">
        <x:v>0603</x:v>
      </x:c>
      <x:c r="E35" s="26" t="str">
        <x:v>CAP-01</x:v>
      </x:c>
      <x:c r="F35" s="26" t="str">
        <x:v>CC0603KRX7R9BB104</x:v>
      </x:c>
      <x:c r="G35" s="26" t="str">
        <x:v>Buy</x:v>
      </x:c>
      <x:c r="H35" s="26" t="str">
        <x:v>Check live DigiKey stock</x:v>
      </x:c>
      <x:c r="I35" s="26" t="str">
        <x:v>2026-07-21</x:v>
      </x:c>
    </x:row>
    <x:row r="36" ht="34" customHeight="1">
      <x:c r="A36" s="26" t="str">
        <x:v>C32</x:v>
      </x:c>
      <x:c r="B36" s="26" t="str">
        <x:v>Capacitor</x:v>
      </x:c>
      <x:c r="C36" s="26" t="str">
        <x:v>100 nF</x:v>
      </x:c>
      <x:c r="D36" s="26" t="str">
        <x:v>0603</x:v>
      </x:c>
      <x:c r="E36" s="26" t="str">
        <x:v>CAP-01</x:v>
      </x:c>
      <x:c r="F36" s="26" t="str">
        <x:v>CC0603KRX7R9BB104</x:v>
      </x:c>
      <x:c r="G36" s="26" t="str">
        <x:v>Buy</x:v>
      </x:c>
      <x:c r="H36" s="26" t="str">
        <x:v>Check live DigiKey stock</x:v>
      </x:c>
      <x:c r="I36" s="26" t="str">
        <x:v>2026-07-21</x:v>
      </x:c>
    </x:row>
    <x:row r="37" ht="34" customHeight="1">
      <x:c r="A37" s="26" t="str">
        <x:v>C33</x:v>
      </x:c>
      <x:c r="B37" s="26" t="str">
        <x:v>Capacitor</x:v>
      </x:c>
      <x:c r="C37" s="26" t="str">
        <x:v>10 nF</x:v>
      </x:c>
      <x:c r="D37" s="26" t="str">
        <x:v>0603</x:v>
      </x:c>
      <x:c r="E37" s="26" t="str">
        <x:v>CAP-05</x:v>
      </x:c>
      <x:c r="F37" s="26" t="str">
        <x:v>CC0603KRX7R9BB103</x:v>
      </x:c>
      <x:c r="G37" s="26" t="str">
        <x:v>Buy</x:v>
      </x:c>
      <x:c r="H37" s="26" t="str">
        <x:v>Check live DigiKey stock</x:v>
      </x:c>
      <x:c r="I37" s="26" t="str">
        <x:v>2026-07-21</x:v>
      </x:c>
    </x:row>
    <x:row r="38" ht="34" customHeight="1">
      <x:c r="A38" s="26" t="str">
        <x:v>C34</x:v>
      </x:c>
      <x:c r="B38" s="26" t="str">
        <x:v>Capacitor</x:v>
      </x:c>
      <x:c r="C38" s="26" t="str">
        <x:v>100 nF</x:v>
      </x:c>
      <x:c r="D38" s="26" t="str">
        <x:v>1206</x:v>
      </x:c>
      <x:c r="E38" s="26" t="str">
        <x:v>CAP-16</x:v>
      </x:c>
      <x:c r="F38" s="26" t="str">
        <x:v>GRM31C5C2A104JA01L</x:v>
      </x:c>
      <x:c r="G38" s="26" t="str">
        <x:v>Buy</x:v>
      </x:c>
      <x:c r="H38" s="26" t="str">
        <x:v>CRITICAL resonant/bridge capacitors: keep 100 V, C0G/NP0, ±5%, 1206 unless the design is revalidated.</x:v>
      </x:c>
      <x:c r="I38" s="26" t="str">
        <x:v>2026-07-21</x:v>
      </x:c>
    </x:row>
    <x:row r="39" ht="34" customHeight="1">
      <x:c r="A39" s="26" t="str">
        <x:v>C35</x:v>
      </x:c>
      <x:c r="B39" s="26" t="str">
        <x:v>Capacitor</x:v>
      </x:c>
      <x:c r="C39" s="26" t="str">
        <x:v>100 nF</x:v>
      </x:c>
      <x:c r="D39" s="26" t="str">
        <x:v>1206</x:v>
      </x:c>
      <x:c r="E39" s="26" t="str">
        <x:v>CAP-16</x:v>
      </x:c>
      <x:c r="F39" s="26" t="str">
        <x:v>GRM31C5C2A104JA01L</x:v>
      </x:c>
      <x:c r="G39" s="26" t="str">
        <x:v>Buy</x:v>
      </x:c>
      <x:c r="H39" s="26" t="str">
        <x:v>CRITICAL resonant/bridge capacitors: keep 100 V, C0G/NP0, ±5%, 1206 unless the design is revalidated.</x:v>
      </x:c>
      <x:c r="I39" s="26" t="str">
        <x:v>2026-07-21</x:v>
      </x:c>
    </x:row>
    <x:row r="40" ht="34" customHeight="1">
      <x:c r="A40" s="26" t="str">
        <x:v>C36</x:v>
      </x:c>
      <x:c r="B40" s="26" t="str">
        <x:v>Capacitor</x:v>
      </x:c>
      <x:c r="C40" s="26" t="str">
        <x:v>100 nF</x:v>
      </x:c>
      <x:c r="D40" s="26" t="str">
        <x:v>1206</x:v>
      </x:c>
      <x:c r="E40" s="26" t="str">
        <x:v>CAP-16</x:v>
      </x:c>
      <x:c r="F40" s="26" t="str">
        <x:v>GRM31C5C2A104JA01L</x:v>
      </x:c>
      <x:c r="G40" s="26" t="str">
        <x:v>Buy</x:v>
      </x:c>
      <x:c r="H40" s="26" t="str">
        <x:v>CRITICAL resonant/bridge capacitors: keep 100 V, C0G/NP0, ±5%, 1206 unless the design is revalidated.</x:v>
      </x:c>
      <x:c r="I40" s="26" t="str">
        <x:v>2026-07-21</x:v>
      </x:c>
    </x:row>
    <x:row r="41" ht="34" customHeight="1">
      <x:c r="A41" s="26" t="str">
        <x:v>C37</x:v>
      </x:c>
      <x:c r="B41" s="26" t="str">
        <x:v>Capacitor</x:v>
      </x:c>
      <x:c r="C41" s="26" t="str">
        <x:v>100 nF</x:v>
      </x:c>
      <x:c r="D41" s="26" t="str">
        <x:v>1206</x:v>
      </x:c>
      <x:c r="E41" s="26" t="str">
        <x:v>CAP-16</x:v>
      </x:c>
      <x:c r="F41" s="26" t="str">
        <x:v>GRM31C5C2A104JA01L</x:v>
      </x:c>
      <x:c r="G41" s="26" t="str">
        <x:v>Buy</x:v>
      </x:c>
      <x:c r="H41" s="26" t="str">
        <x:v>CRITICAL resonant/bridge capacitors: keep 100 V, C0G/NP0, ±5%, 1206 unless the design is revalidated.</x:v>
      </x:c>
      <x:c r="I41" s="26" t="str">
        <x:v>2026-07-21</x:v>
      </x:c>
    </x:row>
    <x:row r="42" ht="34" customHeight="1">
      <x:c r="A42" s="26" t="str">
        <x:v>C38</x:v>
      </x:c>
      <x:c r="B42" s="26" t="str">
        <x:v>Capacitor</x:v>
      </x:c>
      <x:c r="C42" s="26" t="str">
        <x:v>100 nF</x:v>
      </x:c>
      <x:c r="D42" s="26" t="str">
        <x:v>1206</x:v>
      </x:c>
      <x:c r="E42" s="26" t="str">
        <x:v>CAP-16</x:v>
      </x:c>
      <x:c r="F42" s="26" t="str">
        <x:v>GRM31C5C2A104JA01L</x:v>
      </x:c>
      <x:c r="G42" s="26" t="str">
        <x:v>Buy</x:v>
      </x:c>
      <x:c r="H42" s="26" t="str">
        <x:v>CRITICAL resonant/bridge capacitors: keep 100 V, C0G/NP0, ±5%, 1206 unless the design is revalidated.</x:v>
      </x:c>
      <x:c r="I42" s="26" t="str">
        <x:v>2026-07-21</x:v>
      </x:c>
    </x:row>
    <x:row r="43" ht="34" customHeight="1">
      <x:c r="A43" s="26" t="str">
        <x:v>C39</x:v>
      </x:c>
      <x:c r="B43" s="26" t="str">
        <x:v>Capacitor</x:v>
      </x:c>
      <x:c r="C43" s="26" t="str">
        <x:v>100 nF</x:v>
      </x:c>
      <x:c r="D43" s="26" t="str">
        <x:v>0402</x:v>
      </x:c>
      <x:c r="E43" s="26" t="str">
        <x:v>CAP-09</x:v>
      </x:c>
      <x:c r="F43" s="26" t="str">
        <x:v>CC0402KRX7R7BB104</x:v>
      </x:c>
      <x:c r="G43" s="26" t="str">
        <x:v>Buy</x:v>
      </x:c>
      <x:c r="H43" s="26" t="str">
        <x:v>Check live DigiKey stock</x:v>
      </x:c>
      <x:c r="I43" s="26" t="str">
        <x:v>2026-07-21</x:v>
      </x:c>
    </x:row>
    <x:row r="44" ht="34" customHeight="1">
      <x:c r="A44" s="26" t="str">
        <x:v>C40</x:v>
      </x:c>
      <x:c r="B44" s="26" t="str">
        <x:v>Capacitor</x:v>
      </x:c>
      <x:c r="C44" s="26" t="str">
        <x:v>100 nF</x:v>
      </x:c>
      <x:c r="D44" s="26" t="str">
        <x:v>0603</x:v>
      </x:c>
      <x:c r="E44" s="26" t="str">
        <x:v>CAP-01</x:v>
      </x:c>
      <x:c r="F44" s="26" t="str">
        <x:v>CC0603KRX7R9BB104</x:v>
      </x:c>
      <x:c r="G44" s="26" t="str">
        <x:v>Buy</x:v>
      </x:c>
      <x:c r="H44" s="26" t="str">
        <x:v>Check live DigiKey stock</x:v>
      </x:c>
      <x:c r="I44" s="26" t="str">
        <x:v>2026-07-21</x:v>
      </x:c>
    </x:row>
    <x:row r="45" ht="34" customHeight="1">
      <x:c r="A45" s="26" t="str">
        <x:v>C41</x:v>
      </x:c>
      <x:c r="B45" s="26" t="str">
        <x:v>Capacitor</x:v>
      </x:c>
      <x:c r="C45" s="26" t="str">
        <x:v>10 nF</x:v>
      </x:c>
      <x:c r="D45" s="26" t="str">
        <x:v>0603</x:v>
      </x:c>
      <x:c r="E45" s="26" t="str">
        <x:v>CAP-05</x:v>
      </x:c>
      <x:c r="F45" s="26" t="str">
        <x:v>CC0603KRX7R9BB103</x:v>
      </x:c>
      <x:c r="G45" s="26" t="str">
        <x:v>Buy</x:v>
      </x:c>
      <x:c r="H45" s="26" t="str">
        <x:v>Check live DigiKey stock</x:v>
      </x:c>
      <x:c r="I45" s="26" t="str">
        <x:v>2026-07-21</x:v>
      </x:c>
    </x:row>
    <x:row r="46" ht="34" customHeight="1">
      <x:c r="A46" s="26" t="str">
        <x:v>C42</x:v>
      </x:c>
      <x:c r="B46" s="26" t="str">
        <x:v>Capacitor</x:v>
      </x:c>
      <x:c r="C46" s="26" t="str">
        <x:v>1 µF</x:v>
      </x:c>
      <x:c r="D46" s="26" t="str">
        <x:v>0603</x:v>
      </x:c>
      <x:c r="E46" s="26" t="str">
        <x:v>CAP-06</x:v>
      </x:c>
      <x:c r="F46" s="26" t="str">
        <x:v>CL10A105KB8NNNC</x:v>
      </x:c>
      <x:c r="G46" s="26" t="str">
        <x:v>Buy</x:v>
      </x:c>
      <x:c r="H46" s="26" t="str">
        <x:v>Check live DigiKey stock</x:v>
      </x:c>
      <x:c r="I46" s="26" t="str">
        <x:v>2026-07-21</x:v>
      </x:c>
    </x:row>
    <x:row r="47" ht="34" customHeight="1">
      <x:c r="A47" s="26" t="str">
        <x:v>C43</x:v>
      </x:c>
      <x:c r="B47" s="26" t="str">
        <x:v>Capacitor</x:v>
      </x:c>
      <x:c r="C47" s="26" t="str">
        <x:v>100 nF</x:v>
      </x:c>
      <x:c r="D47" s="26" t="str">
        <x:v>0603</x:v>
      </x:c>
      <x:c r="E47" s="26" t="str">
        <x:v>CAP-01</x:v>
      </x:c>
      <x:c r="F47" s="26" t="str">
        <x:v>CC0603KRX7R9BB104</x:v>
      </x:c>
      <x:c r="G47" s="26" t="str">
        <x:v>Buy</x:v>
      </x:c>
      <x:c r="H47" s="26" t="str">
        <x:v>Check live DigiKey stock</x:v>
      </x:c>
      <x:c r="I47" s="26" t="str">
        <x:v>2026-07-21</x:v>
      </x:c>
    </x:row>
    <x:row r="48" ht="34" customHeight="1">
      <x:c r="A48" s="26" t="str">
        <x:v>C44</x:v>
      </x:c>
      <x:c r="B48" s="26" t="str">
        <x:v>Capacitor</x:v>
      </x:c>
      <x:c r="C48" s="26" t="str">
        <x:v>1 µF</x:v>
      </x:c>
      <x:c r="D48" s="26" t="str">
        <x:v>0805</x:v>
      </x:c>
      <x:c r="E48" s="26" t="str">
        <x:v>CAP-18</x:v>
      </x:c>
      <x:c r="F48" s="26" t="str">
        <x:v>CL21B105KBFNNNE</x:v>
      </x:c>
      <x:c r="G48" s="26" t="str">
        <x:v>Buy</x:v>
      </x:c>
      <x:c r="H48" s="26" t="str">
        <x:v>Check live DigiKey stock</x:v>
      </x:c>
      <x:c r="I48" s="26" t="str">
        <x:v>2026-07-21</x:v>
      </x:c>
    </x:row>
    <x:row r="49" ht="34" customHeight="1">
      <x:c r="A49" s="26" t="str">
        <x:v>C45</x:v>
      </x:c>
      <x:c r="B49" s="26" t="str">
        <x:v>Capacitor</x:v>
      </x:c>
      <x:c r="C49" s="26" t="str">
        <x:v>100 nF</x:v>
      </x:c>
      <x:c r="D49" s="26" t="str">
        <x:v>0603</x:v>
      </x:c>
      <x:c r="E49" s="26" t="str">
        <x:v>CAP-01</x:v>
      </x:c>
      <x:c r="F49" s="26" t="str">
        <x:v>CC0603KRX7R9BB104</x:v>
      </x:c>
      <x:c r="G49" s="26" t="str">
        <x:v>Buy</x:v>
      </x:c>
      <x:c r="H49" s="26" t="str">
        <x:v>Check live DigiKey stock</x:v>
      </x:c>
      <x:c r="I49" s="26" t="str">
        <x:v>2026-07-21</x:v>
      </x:c>
    </x:row>
    <x:row r="50" ht="34" customHeight="1">
      <x:c r="A50" s="26" t="str">
        <x:v>C46</x:v>
      </x:c>
      <x:c r="B50" s="26" t="str">
        <x:v>Capacitor</x:v>
      </x:c>
      <x:c r="C50" s="26" t="str">
        <x:v>10 nF</x:v>
      </x:c>
      <x:c r="D50" s="26" t="str">
        <x:v>0603</x:v>
      </x:c>
      <x:c r="E50" s="26" t="str">
        <x:v>CAP-05</x:v>
      </x:c>
      <x:c r="F50" s="26" t="str">
        <x:v>CC0603KRX7R9BB103</x:v>
      </x:c>
      <x:c r="G50" s="26" t="str">
        <x:v>Buy</x:v>
      </x:c>
      <x:c r="H50" s="26" t="str">
        <x:v>Check live DigiKey stock</x:v>
      </x:c>
      <x:c r="I50" s="26" t="str">
        <x:v>2026-07-21</x:v>
      </x:c>
    </x:row>
    <x:row r="51" ht="34" customHeight="1">
      <x:c r="A51" s="26" t="str">
        <x:v>C47</x:v>
      </x:c>
      <x:c r="B51" s="26" t="str">
        <x:v>Capacitor</x:v>
      </x:c>
      <x:c r="C51" s="26" t="str">
        <x:v>470 nF</x:v>
      </x:c>
      <x:c r="D51" s="26" t="str">
        <x:v>0402</x:v>
      </x:c>
      <x:c r="E51" s="26" t="str">
        <x:v>CAP-19</x:v>
      </x:c>
      <x:c r="F51" s="26" t="str">
        <x:v>CL05A474KP5NNNC</x:v>
      </x:c>
      <x:c r="G51" s="26" t="str">
        <x:v>Buy</x:v>
      </x:c>
      <x:c r="H51" s="26" t="str">
        <x:v>Check live DigiKey stock</x:v>
      </x:c>
      <x:c r="I51" s="26" t="str">
        <x:v>2026-07-21</x:v>
      </x:c>
    </x:row>
    <x:row r="52" ht="34" customHeight="1">
      <x:c r="A52" s="26" t="str">
        <x:v>C48</x:v>
      </x:c>
      <x:c r="B52" s="26" t="str">
        <x:v>Capacitor</x:v>
      </x:c>
      <x:c r="C52" s="26" t="str">
        <x:v>10 nF</x:v>
      </x:c>
      <x:c r="D52" s="26" t="str">
        <x:v>0603</x:v>
      </x:c>
      <x:c r="E52" s="26" t="str">
        <x:v>CAP-05</x:v>
      </x:c>
      <x:c r="F52" s="26" t="str">
        <x:v>CC0603KRX7R9BB103</x:v>
      </x:c>
      <x:c r="G52" s="26" t="str">
        <x:v>Buy</x:v>
      </x:c>
      <x:c r="H52" s="26" t="str">
        <x:v>Check live DigiKey stock</x:v>
      </x:c>
      <x:c r="I52" s="26" t="str">
        <x:v>2026-07-21</x:v>
      </x:c>
    </x:row>
    <x:row r="53" ht="34" customHeight="1">
      <x:c r="A53" s="26" t="str">
        <x:v>C49</x:v>
      </x:c>
      <x:c r="B53" s="26" t="str">
        <x:v>Capacitor</x:v>
      </x:c>
      <x:c r="C53" s="26" t="str">
        <x:v>100 nF</x:v>
      </x:c>
      <x:c r="D53" s="26" t="str">
        <x:v>0603</x:v>
      </x:c>
      <x:c r="E53" s="26" t="str">
        <x:v>DNP</x:v>
      </x:c>
      <x:c r="F53" s="26" t="str">
        <x:v>CC0603KRX7R9BB104</x:v>
      </x:c>
      <x:c r="G53" s="26" t="str">
        <x:v>DNP — do not buy</x:v>
      </x:c>
      <x:c r="H53" s="26" t="str">
        <x:v>Marked do-not-populate in schematic; active 100 nF group excludes it.</x:v>
      </x:c>
      <x:c r="I53" s="26" t="str">
        <x:v>2026-07-21</x:v>
      </x:c>
    </x:row>
    <x:row r="54" ht="34" customHeight="1">
      <x:c r="A54" s="26" t="str">
        <x:v>C50</x:v>
      </x:c>
      <x:c r="B54" s="26" t="str">
        <x:v>Capacitor</x:v>
      </x:c>
      <x:c r="C54" s="26" t="str">
        <x:v>100 nF</x:v>
      </x:c>
      <x:c r="D54" s="26" t="str">
        <x:v>0603</x:v>
      </x:c>
      <x:c r="E54" s="26" t="str">
        <x:v>CAP-01</x:v>
      </x:c>
      <x:c r="F54" s="26" t="str">
        <x:v>CC0603KRX7R9BB104</x:v>
      </x:c>
      <x:c r="G54" s="26" t="str">
        <x:v>Buy</x:v>
      </x:c>
      <x:c r="H54" s="26" t="str">
        <x:v>Check live DigiKey stock</x:v>
      </x:c>
      <x:c r="I54" s="26" t="str">
        <x:v>2026-07-21</x:v>
      </x:c>
    </x:row>
    <x:row r="55" ht="34" customHeight="1">
      <x:c r="A55" s="26" t="str">
        <x:v>C51</x:v>
      </x:c>
      <x:c r="B55" s="26" t="str">
        <x:v>Capacitor</x:v>
      </x:c>
      <x:c r="C55" s="26" t="str">
        <x:v>5.6 nF</x:v>
      </x:c>
      <x:c r="D55" s="26" t="str">
        <x:v>0603</x:v>
      </x:c>
      <x:c r="E55" s="26" t="str">
        <x:v>CAP-20</x:v>
      </x:c>
      <x:c r="F55" s="26" t="str">
        <x:v>C1608C0G2A562J080AC</x:v>
      </x:c>
      <x:c r="G55" s="26" t="str">
        <x:v>Buy</x:v>
      </x:c>
      <x:c r="H55" s="26" t="str">
        <x:v>CRITICAL: the original generic match was 50 V X7R; buy this 100 V C0G part instead.</x:v>
      </x:c>
      <x:c r="I55" s="26" t="str">
        <x:v>2026-07-21</x:v>
      </x:c>
    </x:row>
    <x:row r="56" ht="34" customHeight="1">
      <x:c r="A56" s="26" t="str">
        <x:v>C52</x:v>
      </x:c>
      <x:c r="B56" s="26" t="str">
        <x:v>Capacitor</x:v>
      </x:c>
      <x:c r="C56" s="26" t="str">
        <x:v>1 nF</x:v>
      </x:c>
      <x:c r="D56" s="26" t="str">
        <x:v>0603</x:v>
      </x:c>
      <x:c r="E56" s="26" t="str">
        <x:v>CAP-14</x:v>
      </x:c>
      <x:c r="F56" s="26" t="str">
        <x:v>CC0603KRX7R0BB102</x:v>
      </x:c>
      <x:c r="G56" s="26" t="str">
        <x:v>Buy</x:v>
      </x:c>
      <x:c r="H56" s="26" t="str">
        <x:v>Do not combine with C3: this reference needs the 100 V rating.</x:v>
      </x:c>
      <x:c r="I56" s="26" t="str">
        <x:v>2026-07-21</x:v>
      </x:c>
    </x:row>
    <x:row r="57" ht="34" customHeight="1">
      <x:c r="A57" s="26" t="str">
        <x:v>C53</x:v>
      </x:c>
      <x:c r="B57" s="26" t="str">
        <x:v>Capacitor</x:v>
      </x:c>
      <x:c r="C57" s="26" t="str">
        <x:v>100 nF</x:v>
      </x:c>
      <x:c r="D57" s="26" t="str">
        <x:v>0402</x:v>
      </x:c>
      <x:c r="E57" s="26" t="str">
        <x:v>CAP-10</x:v>
      </x:c>
      <x:c r="F57" s="26" t="str">
        <x:v>CC0402KRX7R9BB104</x:v>
      </x:c>
      <x:c r="G57" s="26" t="str">
        <x:v>Buy</x:v>
      </x:c>
      <x:c r="H57" s="26" t="str">
        <x:v>Kept separate from the 16 V group because these parts sit on PVIN (up to 24 V).</x:v>
      </x:c>
      <x:c r="I57" s="26" t="str">
        <x:v>2026-07-21</x:v>
      </x:c>
    </x:row>
    <x:row r="58" ht="34" customHeight="1">
      <x:c r="A58" s="26" t="str">
        <x:v>C54</x:v>
      </x:c>
      <x:c r="B58" s="26" t="str">
        <x:v>Capacitor</x:v>
      </x:c>
      <x:c r="C58" s="26" t="str">
        <x:v>100 nF</x:v>
      </x:c>
      <x:c r="D58" s="26" t="str">
        <x:v>0402</x:v>
      </x:c>
      <x:c r="E58" s="26" t="str">
        <x:v>CAP-10</x:v>
      </x:c>
      <x:c r="F58" s="26" t="str">
        <x:v>CC0402KRX7R9BB104</x:v>
      </x:c>
      <x:c r="G58" s="26" t="str">
        <x:v>Buy</x:v>
      </x:c>
      <x:c r="H58" s="26" t="str">
        <x:v>Kept separate from the 16 V group because these parts sit on PVIN (up to 24 V).</x:v>
      </x:c>
      <x:c r="I58" s="26" t="str">
        <x:v>2026-07-21</x:v>
      </x:c>
    </x:row>
    <x:row r="59" ht="34" customHeight="1">
      <x:c r="A59" s="26" t="str">
        <x:v>C55</x:v>
      </x:c>
      <x:c r="B59" s="26" t="str">
        <x:v>Capacitor</x:v>
      </x:c>
      <x:c r="C59" s="26" t="str">
        <x:v>100 nF</x:v>
      </x:c>
      <x:c r="D59" s="26" t="str">
        <x:v>0402</x:v>
      </x:c>
      <x:c r="E59" s="26" t="str">
        <x:v>CAP-09</x:v>
      </x:c>
      <x:c r="F59" s="26" t="str">
        <x:v>CC0402KRX7R7BB104</x:v>
      </x:c>
      <x:c r="G59" s="26" t="str">
        <x:v>Buy</x:v>
      </x:c>
      <x:c r="H59" s="26" t="str">
        <x:v>Check live DigiKey stock</x:v>
      </x:c>
      <x:c r="I59" s="26" t="str">
        <x:v>2026-07-21</x:v>
      </x:c>
    </x:row>
    <x:row r="60" ht="34" customHeight="1">
      <x:c r="A60" s="26" t="str">
        <x:v>C56</x:v>
      </x:c>
      <x:c r="B60" s="26" t="str">
        <x:v>Capacitor</x:v>
      </x:c>
      <x:c r="C60" s="26" t="str">
        <x:v>1 µF</x:v>
      </x:c>
      <x:c r="D60" s="26" t="str">
        <x:v>0402</x:v>
      </x:c>
      <x:c r="E60" s="26" t="str">
        <x:v>CAP-21</x:v>
      </x:c>
      <x:c r="F60" s="26" t="str">
        <x:v>CL05A105KA5NQNC</x:v>
      </x:c>
      <x:c r="G60" s="26" t="str">
        <x:v>Buy</x:v>
      </x:c>
      <x:c r="H60" s="26" t="str">
        <x:v>Check live DigiKey stock</x:v>
      </x:c>
      <x:c r="I60" s="26" t="str">
        <x:v>2026-07-21</x:v>
      </x:c>
    </x:row>
    <x:row r="61" ht="34" customHeight="1">
      <x:c r="A61" s="26" t="str">
        <x:v>C57</x:v>
      </x:c>
      <x:c r="B61" s="26" t="str">
        <x:v>Capacitor</x:v>
      </x:c>
      <x:c r="C61" s="26" t="str">
        <x:v>100 nF</x:v>
      </x:c>
      <x:c r="D61" s="26" t="str">
        <x:v>0402</x:v>
      </x:c>
      <x:c r="E61" s="26" t="str">
        <x:v>CAP-09</x:v>
      </x:c>
      <x:c r="F61" s="26" t="str">
        <x:v>CC0402KRX7R7BB104</x:v>
      </x:c>
      <x:c r="G61" s="26" t="str">
        <x:v>Buy</x:v>
      </x:c>
      <x:c r="H61" s="26" t="str">
        <x:v>Check live DigiKey stock</x:v>
      </x:c>
      <x:c r="I61" s="26" t="str">
        <x:v>2026-07-21</x:v>
      </x:c>
    </x:row>
    <x:row r="62" ht="34" customHeight="1">
      <x:c r="A62" s="26" t="str">
        <x:v>C58</x:v>
      </x:c>
      <x:c r="B62" s="26" t="str">
        <x:v>Capacitor</x:v>
      </x:c>
      <x:c r="C62" s="26" t="str">
        <x:v>1 µF</x:v>
      </x:c>
      <x:c r="D62" s="26" t="str">
        <x:v>0402</x:v>
      </x:c>
      <x:c r="E62" s="26" t="str">
        <x:v>CAP-21</x:v>
      </x:c>
      <x:c r="F62" s="26" t="str">
        <x:v>CL05A105KA5NQNC</x:v>
      </x:c>
      <x:c r="G62" s="26" t="str">
        <x:v>Buy</x:v>
      </x:c>
      <x:c r="H62" s="26" t="str">
        <x:v>Check live DigiKey stock</x:v>
      </x:c>
      <x:c r="I62" s="26" t="str">
        <x:v>2026-07-21</x:v>
      </x:c>
    </x:row>
    <x:row r="63" ht="34" customHeight="1">
      <x:c r="A63" s="26" t="str">
        <x:v>D1</x:v>
      </x:c>
      <x:c r="B63" s="26" t="str">
        <x:v>Diode / LED</x:v>
      </x:c>
      <x:c r="C63" s="26" t="str">
        <x:v>Red LED</x:v>
      </x:c>
      <x:c r="D63" s="26" t="str">
        <x:v>0201 (0603 metric)</x:v>
      </x:c>
      <x:c r="E63" s="26" t="str">
        <x:v>LED-01</x:v>
      </x:c>
      <x:c r="F63" s="26" t="str">
        <x:v>APG0201SURC-TT</x:v>
      </x:c>
      <x:c r="G63" s="26" t="str">
        <x:v>Buy</x:v>
      </x:c>
      <x:c r="H63" s="26" t="str">
        <x:v>Physical size is 0201 imperial. Do not substitute the larger 0402 SML-P11 series.</x:v>
      </x:c>
      <x:c r="I63" s="26" t="str">
        <x:v>2026-07-21</x:v>
      </x:c>
    </x:row>
    <x:row r="64" ht="34" customHeight="1">
      <x:c r="A64" s="26" t="str">
        <x:v>D2</x:v>
      </x:c>
      <x:c r="B64" s="26" t="str">
        <x:v>Diode / LED</x:v>
      </x:c>
      <x:c r="C64" s="26" t="str">
        <x:v>Red LED</x:v>
      </x:c>
      <x:c r="D64" s="26" t="str">
        <x:v>0201 (0603 metric)</x:v>
      </x:c>
      <x:c r="E64" s="26" t="str">
        <x:v>LED-01</x:v>
      </x:c>
      <x:c r="F64" s="26" t="str">
        <x:v>APG0201SURC-TT</x:v>
      </x:c>
      <x:c r="G64" s="26" t="str">
        <x:v>Buy</x:v>
      </x:c>
      <x:c r="H64" s="26" t="str">
        <x:v>Physical size is 0201 imperial. Do not substitute the larger 0402 SML-P11 series.</x:v>
      </x:c>
      <x:c r="I64" s="26" t="str">
        <x:v>2026-07-21</x:v>
      </x:c>
    </x:row>
    <x:row r="65" ht="34" customHeight="1">
      <x:c r="A65" s="26" t="str">
        <x:v>D7</x:v>
      </x:c>
      <x:c r="B65" s="26" t="str">
        <x:v>Diode / LED</x:v>
      </x:c>
      <x:c r="C65" s="26" t="str">
        <x:v>Schottky diode</x:v>
      </x:c>
      <x:c r="D65" s="26" t="str">
        <x:v>SOD-523</x:v>
      </x:c>
      <x:c r="E65" s="26" t="str">
        <x:v>DIO-04</x:v>
      </x:c>
      <x:c r="F65" s="26" t="str">
        <x:v>BAT64T5Q-7-F</x:v>
      </x:c>
      <x:c r="G65" s="26" t="str">
        <x:v>Buy</x:v>
      </x:c>
      <x:c r="H65" s="26" t="str">
        <x:v>Automotive-qualified exact MPN.</x:v>
      </x:c>
      <x:c r="I65" s="26" t="str">
        <x:v>2026-07-21</x:v>
      </x:c>
    </x:row>
    <x:row r="66" ht="34" customHeight="1">
      <x:c r="A66" s="26" t="str">
        <x:v>D8</x:v>
      </x:c>
      <x:c r="B66" s="26" t="str">
        <x:v>Diode / LED</x:v>
      </x:c>
      <x:c r="C66" s="26" t="str">
        <x:v>Schottky diode</x:v>
      </x:c>
      <x:c r="D66" s="26" t="str">
        <x:v>SOD-523</x:v>
      </x:c>
      <x:c r="E66" s="26" t="str">
        <x:v>DIO-01</x:v>
      </x:c>
      <x:c r="F66" s="26" t="str">
        <x:v>RB511SM-40FHT2R</x:v>
      </x:c>
      <x:c r="G66" s="26" t="str">
        <x:v>Buy</x:v>
      </x:c>
      <x:c r="H66" s="26" t="str">
        <x:v>Keep the same SOD-523 footprint and polarity.</x:v>
      </x:c>
      <x:c r="I66" s="26" t="str">
        <x:v>2026-07-21</x:v>
      </x:c>
    </x:row>
    <x:row r="67" ht="34" customHeight="1">
      <x:c r="A67" s="26" t="str">
        <x:v>D9</x:v>
      </x:c>
      <x:c r="B67" s="26" t="str">
        <x:v>Diode / LED</x:v>
      </x:c>
      <x:c r="C67" s="26" t="str">
        <x:v>Schottky diode</x:v>
      </x:c>
      <x:c r="D67" s="26" t="str">
        <x:v>SOD-523</x:v>
      </x:c>
      <x:c r="E67" s="26" t="str">
        <x:v>DIO-01</x:v>
      </x:c>
      <x:c r="F67" s="26" t="str">
        <x:v>RB511SM-40FHT2R</x:v>
      </x:c>
      <x:c r="G67" s="26" t="str">
        <x:v>Buy</x:v>
      </x:c>
      <x:c r="H67" s="26" t="str">
        <x:v>Keep the same SOD-523 footprint and polarity.</x:v>
      </x:c>
      <x:c r="I67" s="26" t="str">
        <x:v>2026-07-21</x:v>
      </x:c>
    </x:row>
    <x:row r="68" ht="34" customHeight="1">
      <x:c r="A68" s="26" t="str">
        <x:v>D10</x:v>
      </x:c>
      <x:c r="B68" s="26" t="str">
        <x:v>Diode / LED</x:v>
      </x:c>
      <x:c r="C68" s="26" t="str">
        <x:v>Schottky diode</x:v>
      </x:c>
      <x:c r="D68" s="26" t="str">
        <x:v>SOD-523</x:v>
      </x:c>
      <x:c r="E68" s="26" t="str">
        <x:v>DIO-01</x:v>
      </x:c>
      <x:c r="F68" s="26" t="str">
        <x:v>RB511SM-40FHT2R</x:v>
      </x:c>
      <x:c r="G68" s="26" t="str">
        <x:v>Buy</x:v>
      </x:c>
      <x:c r="H68" s="26" t="str">
        <x:v>Keep the same SOD-523 footprint and polarity.</x:v>
      </x:c>
      <x:c r="I68" s="26" t="str">
        <x:v>2026-07-21</x:v>
      </x:c>
    </x:row>
    <x:row r="69" ht="34" customHeight="1">
      <x:c r="A69" s="26" t="str">
        <x:v>D11</x:v>
      </x:c>
      <x:c r="B69" s="26" t="str">
        <x:v>Diode / LED</x:v>
      </x:c>
      <x:c r="C69" s="26" t="str">
        <x:v>Schottky diode</x:v>
      </x:c>
      <x:c r="D69" s="26" t="str">
        <x:v>SOD-523</x:v>
      </x:c>
      <x:c r="E69" s="26" t="str">
        <x:v>DIO-01</x:v>
      </x:c>
      <x:c r="F69" s="26" t="str">
        <x:v>RB511SM-40FHT2R</x:v>
      </x:c>
      <x:c r="G69" s="26" t="str">
        <x:v>Buy</x:v>
      </x:c>
      <x:c r="H69" s="26" t="str">
        <x:v>Keep the same SOD-523 footprint and polarity.</x:v>
      </x:c>
      <x:c r="I69" s="26" t="str">
        <x:v>2026-07-21</x:v>
      </x:c>
    </x:row>
    <x:row r="70" ht="34" customHeight="1">
      <x:c r="A70" s="26" t="str">
        <x:v>D12</x:v>
      </x:c>
      <x:c r="B70" s="26" t="str">
        <x:v>Diode / LED</x:v>
      </x:c>
      <x:c r="C70" s="26" t="str">
        <x:v>Switching diode</x:v>
      </x:c>
      <x:c r="D70" s="26" t="str">
        <x:v>SOD-123</x:v>
      </x:c>
      <x:c r="E70" s="26" t="str">
        <x:v>DIO-02</x:v>
      </x:c>
      <x:c r="F70" s="26" t="str">
        <x:v>1N4448W-TP</x:v>
      </x:c>
      <x:c r="G70" s="26" t="str">
        <x:v>Buy</x:v>
      </x:c>
      <x:c r="H70" s="26" t="str">
        <x:v>Confirm cathode orientation during assembly.</x:v>
      </x:c>
      <x:c r="I70" s="26" t="str">
        <x:v>2026-07-21</x:v>
      </x:c>
    </x:row>
    <x:row r="71" ht="34" customHeight="1">
      <x:c r="A71" s="26" t="str">
        <x:v>D13</x:v>
      </x:c>
      <x:c r="B71" s="26" t="str">
        <x:v>Diode / LED</x:v>
      </x:c>
      <x:c r="C71" s="26" t="str">
        <x:v>Dual switching diode</x:v>
      </x:c>
      <x:c r="D71" s="26" t="str">
        <x:v>SOT-23</x:v>
      </x:c>
      <x:c r="E71" s="26" t="str">
        <x:v>DIO-03</x:v>
      </x:c>
      <x:c r="F71" s="26" t="str">
        <x:v>MMBD1503A</x:v>
      </x:c>
      <x:c r="G71" s="26" t="str">
        <x:v>Buy</x:v>
      </x:c>
      <x:c r="H71" s="26" t="str">
        <x:v>Do not replace with an arbitrary dual diode: topology/pinout must match.</x:v>
      </x:c>
      <x:c r="I71" s="26" t="str">
        <x:v>2026-07-21</x:v>
      </x:c>
    </x:row>
    <x:row r="72" ht="34" customHeight="1">
      <x:c r="A72" s="26" t="str">
        <x:v>EXT-COIL</x:v>
      </x:c>
      <x:c r="B72" s="26" t="str">
        <x:v>External / other</x:v>
      </x:c>
      <x:c r="C72" s="26" t="str">
        <x:v>Qi MP-A11 transmitter coil</x:v>
      </x:c>
      <x:c r="D72" s="26" t="str">
        <x:v>50 × 50 mm class</x:v>
      </x:c>
      <x:c r="E72" s="26" t="str">
        <x:v>EXT-01</x:v>
      </x:c>
      <x:c r="F72" s="26" t="str">
        <x:v>IWTX5050CZEB6R3KF1</x:v>
      </x:c>
      <x:c r="G72" s="26" t="str">
        <x:v>Buy</x:v>
      </x:c>
      <x:c r="H72" s="26" t="str">
        <x:v>External to the PCB. Do not substitute solely by inductance: Qi class, geometry, shielding, resistance and current rating matter.</x:v>
      </x:c>
      <x:c r="I72" s="26" t="str">
        <x:v>2026-07-21</x:v>
      </x:c>
    </x:row>
    <x:row r="73" ht="34" customHeight="1">
      <x:c r="A73" s="26" t="str">
        <x:v>H1</x:v>
      </x:c>
      <x:c r="B73" s="26" t="str">
        <x:v>Mounting hole</x:v>
      </x:c>
      <x:c r="C73" s="26" t="str">
        <x:v>M3 mounting hole</x:v>
      </x:c>
      <x:c r="D73" s="26" t="str">
        <x:v>NPTH PCB feature</x:v>
      </x:c>
      <x:c r="E73" s="26" t="str">
        <x:v>PCB-only</x:v>
      </x:c>
      <x:c r="F73" s="26" t="str"/>
      <x:c r="G73" s="26" t="str">
        <x:v>PCB-only — no part</x:v>
      </x:c>
      <x:c r="H73" s="26" t="str">
        <x:v>The holes are fabricated in the PCB. Screws/spacers are optional mechanical hardware, not PCB components.</x:v>
      </x:c>
      <x:c r="I73" s="26" t="str">
        <x:v>2026-07-21</x:v>
      </x:c>
    </x:row>
    <x:row r="74" ht="34" customHeight="1">
      <x:c r="A74" s="26" t="str">
        <x:v>H2</x:v>
      </x:c>
      <x:c r="B74" s="26" t="str">
        <x:v>Mounting hole</x:v>
      </x:c>
      <x:c r="C74" s="26" t="str">
        <x:v>M3 mounting hole</x:v>
      </x:c>
      <x:c r="D74" s="26" t="str">
        <x:v>NPTH PCB feature</x:v>
      </x:c>
      <x:c r="E74" s="26" t="str">
        <x:v>PCB-only</x:v>
      </x:c>
      <x:c r="F74" s="26" t="str"/>
      <x:c r="G74" s="26" t="str">
        <x:v>PCB-only — no part</x:v>
      </x:c>
      <x:c r="H74" s="26" t="str">
        <x:v>The holes are fabricated in the PCB. Screws/spacers are optional mechanical hardware, not PCB components.</x:v>
      </x:c>
      <x:c r="I74" s="26" t="str">
        <x:v>2026-07-21</x:v>
      </x:c>
    </x:row>
    <x:row r="75" ht="34" customHeight="1">
      <x:c r="A75" s="26" t="str">
        <x:v>H3</x:v>
      </x:c>
      <x:c r="B75" s="26" t="str">
        <x:v>Mounting hole</x:v>
      </x:c>
      <x:c r="C75" s="26" t="str">
        <x:v>M3 mounting hole</x:v>
      </x:c>
      <x:c r="D75" s="26" t="str">
        <x:v>NPTH PCB feature</x:v>
      </x:c>
      <x:c r="E75" s="26" t="str">
        <x:v>PCB-only</x:v>
      </x:c>
      <x:c r="F75" s="26" t="str"/>
      <x:c r="G75" s="26" t="str">
        <x:v>PCB-only — no part</x:v>
      </x:c>
      <x:c r="H75" s="26" t="str">
        <x:v>The holes are fabricated in the PCB. Screws/spacers are optional mechanical hardware, not PCB components.</x:v>
      </x:c>
      <x:c r="I75" s="26" t="str">
        <x:v>2026-07-21</x:v>
      </x:c>
    </x:row>
    <x:row r="76" ht="34" customHeight="1">
      <x:c r="A76" s="26" t="str">
        <x:v>H4</x:v>
      </x:c>
      <x:c r="B76" s="26" t="str">
        <x:v>Mounting hole</x:v>
      </x:c>
      <x:c r="C76" s="26" t="str">
        <x:v>M3 mounting hole</x:v>
      </x:c>
      <x:c r="D76" s="26" t="str">
        <x:v>NPTH PCB feature</x:v>
      </x:c>
      <x:c r="E76" s="26" t="str">
        <x:v>PCB-only</x:v>
      </x:c>
      <x:c r="F76" s="26" t="str"/>
      <x:c r="G76" s="26" t="str">
        <x:v>PCB-only — no part</x:v>
      </x:c>
      <x:c r="H76" s="26" t="str">
        <x:v>The holes are fabricated in the PCB. Screws/spacers are optional mechanical hardware, not PCB components.</x:v>
      </x:c>
      <x:c r="I76" s="26" t="str">
        <x:v>2026-07-21</x:v>
      </x:c>
    </x:row>
    <x:row r="77" ht="34" customHeight="1">
      <x:c r="A77" s="26" t="str">
        <x:v>IC1</x:v>
      </x:c>
      <x:c r="B77" s="26" t="str">
        <x:v>Diode array</x:v>
      </x:c>
      <x:c r="C77" s="26" t="str">
        <x:v>Dual Schottky diode</x:v>
      </x:c>
      <x:c r="D77" s="26" t="str">
        <x:v>SOT-23-6</x:v>
      </x:c>
      <x:c r="E77" s="26" t="str">
        <x:v>DIO-05</x:v>
      </x:c>
      <x:c r="F77" s="26" t="str">
        <x:v>BAT5404WH6327XTSA1</x:v>
      </x:c>
      <x:c r="G77" s="26" t="str">
        <x:v>Buy</x:v>
      </x:c>
      <x:c r="H77" s="26" t="str">
        <x:v>Designator is IC1, but the device is a diode array.</x:v>
      </x:c>
      <x:c r="I77" s="26" t="str">
        <x:v>2026-07-21</x:v>
      </x:c>
    </x:row>
    <x:row r="78" ht="34" customHeight="1">
      <x:c r="A78" s="26" t="str">
        <x:v>J1</x:v>
      </x:c>
      <x:c r="B78" s="26" t="str">
        <x:v>Connector</x:v>
      </x:c>
      <x:c r="C78" s="26" t="str">
        <x:v>1×2 right-angle male header</x:v>
      </x:c>
      <x:c r="D78" s="26" t="str">
        <x:v>2.54 mm pitch THT</x:v>
      </x:c>
      <x:c r="E78" s="26" t="str">
        <x:v>CON-01</x:v>
      </x:c>
      <x:c r="F78" s="26" t="str">
        <x:v>TSW-102-08-L-S-RA</x:v>
      </x:c>
      <x:c r="G78" s="26" t="str">
        <x:v>Buy</x:v>
      </x:c>
      <x:c r="H78" s="26" t="str">
        <x:v>Mating housings/contacts are not included in this board BOM.</x:v>
      </x:c>
      <x:c r="I78" s="26" t="str">
        <x:v>2026-07-21</x:v>
      </x:c>
    </x:row>
    <x:row r="79" ht="34" customHeight="1">
      <x:c r="A79" s="26" t="str">
        <x:v>J2</x:v>
      </x:c>
      <x:c r="B79" s="26" t="str">
        <x:v>Connector</x:v>
      </x:c>
      <x:c r="C79" s="26" t="str">
        <x:v>1×2 right-angle male header</x:v>
      </x:c>
      <x:c r="D79" s="26" t="str">
        <x:v>2.54 mm pitch THT</x:v>
      </x:c>
      <x:c r="E79" s="26" t="str">
        <x:v>CON-01</x:v>
      </x:c>
      <x:c r="F79" s="26" t="str">
        <x:v>TSW-102-08-L-S-RA</x:v>
      </x:c>
      <x:c r="G79" s="26" t="str">
        <x:v>Buy</x:v>
      </x:c>
      <x:c r="H79" s="26" t="str">
        <x:v>Mating housings/contacts are not included in this board BOM.</x:v>
      </x:c>
      <x:c r="I79" s="26" t="str">
        <x:v>2026-07-21</x:v>
      </x:c>
    </x:row>
    <x:row r="80" ht="34" customHeight="1">
      <x:c r="A80" s="26" t="str">
        <x:v>J3</x:v>
      </x:c>
      <x:c r="B80" s="26" t="str">
        <x:v>Connector</x:v>
      </x:c>
      <x:c r="C80" s="26" t="str">
        <x:v>1×1 right-angle male header</x:v>
      </x:c>
      <x:c r="D80" s="26" t="str">
        <x:v>2.54 mm pitch THT</x:v>
      </x:c>
      <x:c r="E80" s="26" t="str">
        <x:v>CON-02</x:v>
      </x:c>
      <x:c r="F80" s="26" t="str">
        <x:v>TSW-101-08-T-S-RA</x:v>
      </x:c>
      <x:c r="G80" s="26" t="str">
        <x:v>Buy</x:v>
      </x:c>
      <x:c r="H80" s="26" t="str">
        <x:v>Tin-contact variant; verify the intended external connection.</x:v>
      </x:c>
      <x:c r="I80" s="26" t="str">
        <x:v>2026-07-21</x:v>
      </x:c>
    </x:row>
    <x:row r="81" ht="34" customHeight="1">
      <x:c r="A81" s="26" t="str">
        <x:v>J4</x:v>
      </x:c>
      <x:c r="B81" s="26" t="str">
        <x:v>Connector</x:v>
      </x:c>
      <x:c r="C81" s="26" t="str">
        <x:v>1×5 right-angle male header</x:v>
      </x:c>
      <x:c r="D81" s="26" t="str">
        <x:v>2.54 mm pitch THT</x:v>
      </x:c>
      <x:c r="E81" s="26" t="str">
        <x:v>CON-03</x:v>
      </x:c>
      <x:c r="F81" s="26" t="str">
        <x:v>TSW-105-08-L-S-RA</x:v>
      </x:c>
      <x:c r="G81" s="26" t="str">
        <x:v>Check before buying</x:v>
      </x:c>
      <x:c r="H81" s="26" t="str">
        <x:v>HOLD: the schematic symbol says socket, but the PCB footprint is a right-angle male pin header. Change CHECK to YES only after confirming which gender you want.</x:v>
      </x:c>
      <x:c r="I81" s="26" t="str">
        <x:v>2026-07-21</x:v>
      </x:c>
    </x:row>
    <x:row r="82" ht="34" customHeight="1">
      <x:c r="A82" s="26" t="str">
        <x:v>J5</x:v>
      </x:c>
      <x:c r="B82" s="26" t="str">
        <x:v>Connector</x:v>
      </x:c>
      <x:c r="C82" s="26" t="str">
        <x:v>Solder-wire connection</x:v>
      </x:c>
      <x:c r="D82" s="26" t="str">
        <x:v>PCB copper pads</x:v>
      </x:c>
      <x:c r="E82" s="26" t="str">
        <x:v>PCB-only</x:v>
      </x:c>
      <x:c r="F82" s="26" t="str"/>
      <x:c r="G82" s="26" t="str">
        <x:v>PCB-only — no part</x:v>
      </x:c>
      <x:c r="H82" s="26" t="str">
        <x:v>The footprint is only solder pads. Wire is external/assembly material if required.</x:v>
      </x:c>
      <x:c r="I82" s="26" t="str">
        <x:v>2026-07-21</x:v>
      </x:c>
    </x:row>
    <x:row r="83" ht="34" customHeight="1">
      <x:c r="A83" s="26" t="str">
        <x:v>L1</x:v>
      </x:c>
      <x:c r="B83" s="26" t="str">
        <x:v>Inductor / coil connection</x:v>
      </x:c>
      <x:c r="C83" s="26" t="str">
        <x:v>6.8 µH power inductor</x:v>
      </x:c>
      <x:c r="D83" s="26" t="str">
        <x:v>11.5 × 10.3 mm SMD</x:v>
      </x:c>
      <x:c r="E83" s="26" t="str">
        <x:v>IND-01</x:v>
      </x:c>
      <x:c r="F83" s="26" t="str">
        <x:v>PA4342.682NLT</x:v>
      </x:c>
      <x:c r="G83" s="26" t="str">
        <x:v>Buy</x:v>
      </x:c>
      <x:c r="H83" s="26" t="str">
        <x:v>Do not downrate current capability.</x:v>
      </x:c>
      <x:c r="I83" s="26" t="str">
        <x:v>2026-07-21</x:v>
      </x:c>
    </x:row>
    <x:row r="84" ht="34" customHeight="1">
      <x:c r="A84" s="26" t="str">
        <x:v>L2</x:v>
      </x:c>
      <x:c r="B84" s="26" t="str">
        <x:v>Inductor / coil connection</x:v>
      </x:c>
      <x:c r="C84" s="26" t="str">
        <x:v>2-position terminal block</x:v>
      </x:c>
      <x:c r="D84" s="26" t="str">
        <x:v>5.08 mm pitch THT</x:v>
      </x:c>
      <x:c r="E84" s="26" t="str">
        <x:v>CON-04</x:v>
      </x:c>
      <x:c r="F84" s="26" t="str">
        <x:v>1715721</x:v>
      </x:c>
      <x:c r="G84" s="26" t="str">
        <x:v>Buy</x:v>
      </x:c>
      <x:c r="H84" s="26" t="str">
        <x:v>This is the PCB connection for the external transmitter coil; the coil itself is a separate line below.</x:v>
      </x:c>
      <x:c r="I84" s="26" t="str">
        <x:v>2026-07-21</x:v>
      </x:c>
    </x:row>
    <x:row r="85" ht="34" customHeight="1">
      <x:c r="A85" s="26" t="str">
        <x:v>Q2</x:v>
      </x:c>
      <x:c r="B85" s="26" t="str">
        <x:v>MOSFET</x:v>
      </x:c>
      <x:c r="C85" s="26" t="str">
        <x:v>N-channel MOSFET</x:v>
      </x:c>
      <x:c r="D85" s="26" t="str">
        <x:v>PG-TSDSON-8</x:v>
      </x:c>
      <x:c r="E85" s="26" t="str">
        <x:v>MOS-01</x:v>
      </x:c>
      <x:c r="F85" s="26" t="str">
        <x:v>BSZ0902NSATMA1</x:v>
      </x:c>
      <x:c r="G85" s="26" t="str">
        <x:v>Buy</x:v>
      </x:c>
      <x:c r="H85" s="26" t="str">
        <x:v>Use the full ordering code; layout and thermal pad must match.</x:v>
      </x:c>
      <x:c r="I85" s="26" t="str">
        <x:v>2026-07-21</x:v>
      </x:c>
    </x:row>
    <x:row r="86" ht="34" customHeight="1">
      <x:c r="A86" s="26" t="str">
        <x:v>Q3</x:v>
      </x:c>
      <x:c r="B86" s="26" t="str">
        <x:v>MOSFET</x:v>
      </x:c>
      <x:c r="C86" s="26" t="str">
        <x:v>N-channel MOSFET</x:v>
      </x:c>
      <x:c r="D86" s="26" t="str">
        <x:v>PG-TSDSON-8</x:v>
      </x:c>
      <x:c r="E86" s="26" t="str">
        <x:v>MOS-01</x:v>
      </x:c>
      <x:c r="F86" s="26" t="str">
        <x:v>BSZ0902NSATMA1</x:v>
      </x:c>
      <x:c r="G86" s="26" t="str">
        <x:v>Buy</x:v>
      </x:c>
      <x:c r="H86" s="26" t="str">
        <x:v>Use the full ordering code; layout and thermal pad must match.</x:v>
      </x:c>
      <x:c r="I86" s="26" t="str">
        <x:v>2026-07-21</x:v>
      </x:c>
    </x:row>
    <x:row r="87" ht="34" customHeight="1">
      <x:c r="A87" s="26" t="str">
        <x:v>Q4</x:v>
      </x:c>
      <x:c r="B87" s="26" t="str">
        <x:v>MOSFET</x:v>
      </x:c>
      <x:c r="C87" s="26" t="str">
        <x:v>N-channel MOSFET</x:v>
      </x:c>
      <x:c r="D87" s="26" t="str">
        <x:v>PG-TSDSON-8</x:v>
      </x:c>
      <x:c r="E87" s="26" t="str">
        <x:v>MOS-01</x:v>
      </x:c>
      <x:c r="F87" s="26" t="str">
        <x:v>BSZ0902NSATMA1</x:v>
      </x:c>
      <x:c r="G87" s="26" t="str">
        <x:v>Buy</x:v>
      </x:c>
      <x:c r="H87" s="26" t="str">
        <x:v>Use the full ordering code; layout and thermal pad must match.</x:v>
      </x:c>
      <x:c r="I87" s="26" t="str">
        <x:v>2026-07-21</x:v>
      </x:c>
    </x:row>
    <x:row r="88" ht="34" customHeight="1">
      <x:c r="A88" s="26" t="str">
        <x:v>Q5</x:v>
      </x:c>
      <x:c r="B88" s="26" t="str">
        <x:v>MOSFET</x:v>
      </x:c>
      <x:c r="C88" s="26" t="str">
        <x:v>N-channel MOSFET</x:v>
      </x:c>
      <x:c r="D88" s="26" t="str">
        <x:v>PG-TSDSON-8</x:v>
      </x:c>
      <x:c r="E88" s="26" t="str">
        <x:v>MOS-01</x:v>
      </x:c>
      <x:c r="F88" s="26" t="str">
        <x:v>BSZ0902NSATMA1</x:v>
      </x:c>
      <x:c r="G88" s="26" t="str">
        <x:v>Buy</x:v>
      </x:c>
      <x:c r="H88" s="26" t="str">
        <x:v>Use the full ordering code; layout and thermal pad must match.</x:v>
      </x:c>
      <x:c r="I88" s="26" t="str">
        <x:v>2026-07-21</x:v>
      </x:c>
    </x:row>
    <x:row r="89" ht="34" customHeight="1">
      <x:c r="A89" s="26" t="str">
        <x:v>Q6</x:v>
      </x:c>
      <x:c r="B89" s="26" t="str">
        <x:v>MOSFET</x:v>
      </x:c>
      <x:c r="C89" s="26" t="str">
        <x:v>N-channel MOSFET</x:v>
      </x:c>
      <x:c r="D89" s="26" t="str">
        <x:v>PG-TSDSON-8</x:v>
      </x:c>
      <x:c r="E89" s="26" t="str">
        <x:v>MOS-01</x:v>
      </x:c>
      <x:c r="F89" s="26" t="str">
        <x:v>BSZ0902NSATMA1</x:v>
      </x:c>
      <x:c r="G89" s="26" t="str">
        <x:v>Buy</x:v>
      </x:c>
      <x:c r="H89" s="26" t="str">
        <x:v>Use the full ordering code; layout and thermal pad must match.</x:v>
      </x:c>
      <x:c r="I89" s="26" t="str">
        <x:v>2026-07-21</x:v>
      </x:c>
    </x:row>
    <x:row r="90" ht="34" customHeight="1">
      <x:c r="A90" s="26" t="str">
        <x:v>Q7</x:v>
      </x:c>
      <x:c r="B90" s="26" t="str">
        <x:v>MOSFET</x:v>
      </x:c>
      <x:c r="C90" s="26" t="str">
        <x:v>N-channel MOSFET</x:v>
      </x:c>
      <x:c r="D90" s="26" t="str">
        <x:v>PG-TSDSON-8</x:v>
      </x:c>
      <x:c r="E90" s="26" t="str">
        <x:v>MOS-01</x:v>
      </x:c>
      <x:c r="F90" s="26" t="str">
        <x:v>BSZ0902NSATMA1</x:v>
      </x:c>
      <x:c r="G90" s="26" t="str">
        <x:v>Buy</x:v>
      </x:c>
      <x:c r="H90" s="26" t="str">
        <x:v>Use the full ordering code; layout and thermal pad must match.</x:v>
      </x:c>
      <x:c r="I90" s="26" t="str">
        <x:v>2026-07-21</x:v>
      </x:c>
    </x:row>
    <x:row r="91" ht="34" customHeight="1">
      <x:c r="A91" s="26" t="str">
        <x:v>Q8</x:v>
      </x:c>
      <x:c r="B91" s="26" t="str">
        <x:v>MOSFET</x:v>
      </x:c>
      <x:c r="C91" s="26" t="str">
        <x:v>N-channel MOSFET</x:v>
      </x:c>
      <x:c r="D91" s="26" t="str">
        <x:v>SOT-23</x:v>
      </x:c>
      <x:c r="E91" s="26" t="str">
        <x:v>MOS-02</x:v>
      </x:c>
      <x:c r="F91" s="26" t="str">
        <x:v>BSS138NH6327XTSA2</x:v>
      </x:c>
      <x:c r="G91" s="26" t="str">
        <x:v>Buy</x:v>
      </x:c>
      <x:c r="H91" s="26" t="str">
        <x:v>Backorder or cross-reference only after checking 60 V rating, pinout and gate-drive suitability.</x:v>
      </x:c>
      <x:c r="I91" s="26" t="str">
        <x:v>2026-07-21</x:v>
      </x:c>
    </x:row>
    <x:row r="92" ht="34" customHeight="1">
      <x:c r="A92" s="26" t="str">
        <x:v>R1</x:v>
      </x:c>
      <x:c r="B92" s="26" t="str">
        <x:v>Resistor</x:v>
      </x:c>
      <x:c r="C92" s="26" t="str">
        <x:v>1 kΩ</x:v>
      </x:c>
      <x:c r="D92" s="26" t="str">
        <x:v>0603</x:v>
      </x:c>
      <x:c r="E92" s="26" t="str">
        <x:v>RES-01</x:v>
      </x:c>
      <x:c r="F92" s="26" t="str">
        <x:v>RC0603FR-071KL</x:v>
      </x:c>
      <x:c r="G92" s="26" t="str">
        <x:v>Buy</x:v>
      </x:c>
      <x:c r="H92" s="26" t="str">
        <x:v>Check live DigiKey stock</x:v>
      </x:c>
      <x:c r="I92" s="26" t="str">
        <x:v>2026-07-21</x:v>
      </x:c>
    </x:row>
    <x:row r="93" ht="34" customHeight="1">
      <x:c r="A93" s="26" t="str">
        <x:v>R2</x:v>
      </x:c>
      <x:c r="B93" s="26" t="str">
        <x:v>Resistor</x:v>
      </x:c>
      <x:c r="C93" s="26" t="str">
        <x:v>5.1 kΩ</x:v>
      </x:c>
      <x:c r="D93" s="26" t="str">
        <x:v>0603</x:v>
      </x:c>
      <x:c r="E93" s="26" t="str">
        <x:v>RES-04</x:v>
      </x:c>
      <x:c r="F93" s="26" t="str">
        <x:v>RC0603FR-075K1L</x:v>
      </x:c>
      <x:c r="G93" s="26" t="str">
        <x:v>Buy</x:v>
      </x:c>
      <x:c r="H93" s="26" t="str">
        <x:v>Check live DigiKey stock</x:v>
      </x:c>
      <x:c r="I93" s="26" t="str">
        <x:v>2026-07-21</x:v>
      </x:c>
    </x:row>
    <x:row r="94" ht="34" customHeight="1">
      <x:c r="A94" s="26" t="str">
        <x:v>R3</x:v>
      </x:c>
      <x:c r="B94" s="26" t="str">
        <x:v>Resistor</x:v>
      </x:c>
      <x:c r="C94" s="26" t="str">
        <x:v>0 Ω jumper</x:v>
      </x:c>
      <x:c r="D94" s="26" t="str">
        <x:v>0603</x:v>
      </x:c>
      <x:c r="E94" s="26" t="str">
        <x:v>RES-08</x:v>
      </x:c>
      <x:c r="F94" s="26" t="str">
        <x:v>RC0603JR-070RL</x:v>
      </x:c>
      <x:c r="G94" s="26" t="str">
        <x:v>Buy</x:v>
      </x:c>
      <x:c r="H94" s="26" t="str">
        <x:v>Check live DigiKey stock</x:v>
      </x:c>
      <x:c r="I94" s="26" t="str">
        <x:v>2026-07-21</x:v>
      </x:c>
    </x:row>
    <x:row r="95" ht="34" customHeight="1">
      <x:c r="A95" s="26" t="str">
        <x:v>R6</x:v>
      </x:c>
      <x:c r="B95" s="26" t="str">
        <x:v>Resistor</x:v>
      </x:c>
      <x:c r="C95" s="26" t="str">
        <x:v>1 kΩ</x:v>
      </x:c>
      <x:c r="D95" s="26" t="str">
        <x:v>0603</x:v>
      </x:c>
      <x:c r="E95" s="26" t="str">
        <x:v>RES-01</x:v>
      </x:c>
      <x:c r="F95" s="26" t="str">
        <x:v>RC0603FR-071KL</x:v>
      </x:c>
      <x:c r="G95" s="26" t="str">
        <x:v>Buy</x:v>
      </x:c>
      <x:c r="H95" s="26" t="str">
        <x:v>Check live DigiKey stock</x:v>
      </x:c>
      <x:c r="I95" s="26" t="str">
        <x:v>2026-07-21</x:v>
      </x:c>
    </x:row>
    <x:row r="96" ht="34" customHeight="1">
      <x:c r="A96" s="26" t="str">
        <x:v>R7</x:v>
      </x:c>
      <x:c r="B96" s="26" t="str">
        <x:v>Resistor</x:v>
      </x:c>
      <x:c r="C96" s="26" t="str">
        <x:v>1 kΩ</x:v>
      </x:c>
      <x:c r="D96" s="26" t="str">
        <x:v>0603</x:v>
      </x:c>
      <x:c r="E96" s="26" t="str">
        <x:v>RES-01</x:v>
      </x:c>
      <x:c r="F96" s="26" t="str">
        <x:v>RC0603FR-071KL</x:v>
      </x:c>
      <x:c r="G96" s="26" t="str">
        <x:v>Buy</x:v>
      </x:c>
      <x:c r="H96" s="26" t="str">
        <x:v>Check live DigiKey stock</x:v>
      </x:c>
      <x:c r="I96" s="26" t="str">
        <x:v>2026-07-21</x:v>
      </x:c>
    </x:row>
    <x:row r="97" ht="34" customHeight="1">
      <x:c r="A97" s="26" t="str">
        <x:v>R8</x:v>
      </x:c>
      <x:c r="B97" s="26" t="str">
        <x:v>Resistor</x:v>
      </x:c>
      <x:c r="C97" s="26" t="str">
        <x:v>0 Ω jumper</x:v>
      </x:c>
      <x:c r="D97" s="26" t="str">
        <x:v>0402</x:v>
      </x:c>
      <x:c r="E97" s="26" t="str">
        <x:v>RES-02</x:v>
      </x:c>
      <x:c r="F97" s="26" t="str">
        <x:v>RC0402JR-070RL</x:v>
      </x:c>
      <x:c r="G97" s="26" t="str">
        <x:v>Buy</x:v>
      </x:c>
      <x:c r="H97" s="26" t="str">
        <x:v>Check live DigiKey stock</x:v>
      </x:c>
      <x:c r="I97" s="26" t="str">
        <x:v>2026-07-21</x:v>
      </x:c>
    </x:row>
    <x:row r="98" ht="34" customHeight="1">
      <x:c r="A98" s="26" t="str">
        <x:v>R9</x:v>
      </x:c>
      <x:c r="B98" s="26" t="str">
        <x:v>Resistor</x:v>
      </x:c>
      <x:c r="C98" s="26" t="str">
        <x:v>0 Ω jumper</x:v>
      </x:c>
      <x:c r="D98" s="26" t="str">
        <x:v>0402</x:v>
      </x:c>
      <x:c r="E98" s="26" t="str">
        <x:v>RES-02</x:v>
      </x:c>
      <x:c r="F98" s="26" t="str">
        <x:v>RC0402JR-070RL</x:v>
      </x:c>
      <x:c r="G98" s="26" t="str">
        <x:v>Buy</x:v>
      </x:c>
      <x:c r="H98" s="26" t="str">
        <x:v>Check live DigiKey stock</x:v>
      </x:c>
      <x:c r="I98" s="26" t="str">
        <x:v>2026-07-21</x:v>
      </x:c>
    </x:row>
    <x:row r="99" ht="34" customHeight="1">
      <x:c r="A99" s="26" t="str">
        <x:v>R10</x:v>
      </x:c>
      <x:c r="B99" s="26" t="str">
        <x:v>Resistor</x:v>
      </x:c>
      <x:c r="C99" s="26" t="str">
        <x:v>0 Ω jumper</x:v>
      </x:c>
      <x:c r="D99" s="26" t="str">
        <x:v>0402</x:v>
      </x:c>
      <x:c r="E99" s="26" t="str">
        <x:v>RES-02</x:v>
      </x:c>
      <x:c r="F99" s="26" t="str">
        <x:v>RC0402JR-070RL</x:v>
      </x:c>
      <x:c r="G99" s="26" t="str">
        <x:v>Buy</x:v>
      </x:c>
      <x:c r="H99" s="26" t="str">
        <x:v>Check live DigiKey stock</x:v>
      </x:c>
      <x:c r="I99" s="26" t="str">
        <x:v>2026-07-21</x:v>
      </x:c>
    </x:row>
    <x:row r="100" ht="34" customHeight="1">
      <x:c r="A100" s="26" t="str">
        <x:v>R11</x:v>
      </x:c>
      <x:c r="B100" s="26" t="str">
        <x:v>Resistor</x:v>
      </x:c>
      <x:c r="C100" s="26" t="str">
        <x:v>1 kΩ</x:v>
      </x:c>
      <x:c r="D100" s="26" t="str">
        <x:v>0603</x:v>
      </x:c>
      <x:c r="E100" s="26" t="str">
        <x:v>RES-01</x:v>
      </x:c>
      <x:c r="F100" s="26" t="str">
        <x:v>RC0603FR-071KL</x:v>
      </x:c>
      <x:c r="G100" s="26" t="str">
        <x:v>Buy</x:v>
      </x:c>
      <x:c r="H100" s="26" t="str">
        <x:v>Check live DigiKey stock</x:v>
      </x:c>
      <x:c r="I100" s="26" t="str">
        <x:v>2026-07-21</x:v>
      </x:c>
    </x:row>
    <x:row r="101" ht="34" customHeight="1">
      <x:c r="A101" s="26" t="str">
        <x:v>R12</x:v>
      </x:c>
      <x:c r="B101" s="26" t="str">
        <x:v>Resistor</x:v>
      </x:c>
      <x:c r="C101" s="26" t="str">
        <x:v>27 kΩ</x:v>
      </x:c>
      <x:c r="D101" s="26" t="str">
        <x:v>0603</x:v>
      </x:c>
      <x:c r="E101" s="26" t="str">
        <x:v>RES-03</x:v>
      </x:c>
      <x:c r="F101" s="26" t="str">
        <x:v>RC0603FR-0727KL</x:v>
      </x:c>
      <x:c r="G101" s="26" t="str">
        <x:v>Buy</x:v>
      </x:c>
      <x:c r="H101" s="26" t="str">
        <x:v>Check live DigiKey stock</x:v>
      </x:c>
      <x:c r="I101" s="26" t="str">
        <x:v>2026-07-21</x:v>
      </x:c>
    </x:row>
    <x:row r="102" ht="34" customHeight="1">
      <x:c r="A102" s="26" t="str">
        <x:v>R13</x:v>
      </x:c>
      <x:c r="B102" s="26" t="str">
        <x:v>Resistor</x:v>
      </x:c>
      <x:c r="C102" s="26" t="str">
        <x:v>5.1 kΩ</x:v>
      </x:c>
      <x:c r="D102" s="26" t="str">
        <x:v>0603</x:v>
      </x:c>
      <x:c r="E102" s="26" t="str">
        <x:v>RES-04</x:v>
      </x:c>
      <x:c r="F102" s="26" t="str">
        <x:v>RC0603FR-075K1L</x:v>
      </x:c>
      <x:c r="G102" s="26" t="str">
        <x:v>Buy</x:v>
      </x:c>
      <x:c r="H102" s="26" t="str">
        <x:v>Check live DigiKey stock</x:v>
      </x:c>
      <x:c r="I102" s="26" t="str">
        <x:v>2026-07-21</x:v>
      </x:c>
    </x:row>
    <x:row r="103" ht="34" customHeight="1">
      <x:c r="A103" s="26" t="str">
        <x:v>R14</x:v>
      </x:c>
      <x:c r="B103" s="26" t="str">
        <x:v>Resistor</x:v>
      </x:c>
      <x:c r="C103" s="26" t="str">
        <x:v>390 Ω</x:v>
      </x:c>
      <x:c r="D103" s="26" t="str">
        <x:v>0603</x:v>
      </x:c>
      <x:c r="E103" s="26" t="str">
        <x:v>RES-05</x:v>
      </x:c>
      <x:c r="F103" s="26" t="str">
        <x:v>RC0603FR-07390RL</x:v>
      </x:c>
      <x:c r="G103" s="26" t="str">
        <x:v>Buy</x:v>
      </x:c>
      <x:c r="H103" s="26" t="str">
        <x:v>Check live DigiKey stock</x:v>
      </x:c>
      <x:c r="I103" s="26" t="str">
        <x:v>2026-07-21</x:v>
      </x:c>
    </x:row>
    <x:row r="104" ht="34" customHeight="1">
      <x:c r="A104" s="26" t="str">
        <x:v>R15</x:v>
      </x:c>
      <x:c r="B104" s="26" t="str">
        <x:v>Resistor</x:v>
      </x:c>
      <x:c r="C104" s="26" t="str">
        <x:v>10 kΩ</x:v>
      </x:c>
      <x:c r="D104" s="26" t="str">
        <x:v>0603</x:v>
      </x:c>
      <x:c r="E104" s="26" t="str">
        <x:v>RES-06</x:v>
      </x:c>
      <x:c r="F104" s="26" t="str">
        <x:v>RC0603FR-0710KL</x:v>
      </x:c>
      <x:c r="G104" s="26" t="str">
        <x:v>Buy</x:v>
      </x:c>
      <x:c r="H104" s="26" t="str">
        <x:v>R19 has the same nominal value but is DNP and is excluded.</x:v>
      </x:c>
      <x:c r="I104" s="26" t="str">
        <x:v>2026-07-21</x:v>
      </x:c>
    </x:row>
    <x:row r="105" ht="34" customHeight="1">
      <x:c r="A105" s="26" t="str">
        <x:v>R16</x:v>
      </x:c>
      <x:c r="B105" s="26" t="str">
        <x:v>Resistor</x:v>
      </x:c>
      <x:c r="C105" s="26" t="str">
        <x:v>100 kΩ</x:v>
      </x:c>
      <x:c r="D105" s="26" t="str">
        <x:v>0603</x:v>
      </x:c>
      <x:c r="E105" s="26" t="str">
        <x:v>RES-07</x:v>
      </x:c>
      <x:c r="F105" s="26" t="str">
        <x:v>RC0603FR-07100KL</x:v>
      </x:c>
      <x:c r="G105" s="26" t="str">
        <x:v>Buy</x:v>
      </x:c>
      <x:c r="H105" s="26" t="str">
        <x:v>Check live DigiKey stock</x:v>
      </x:c>
      <x:c r="I105" s="26" t="str">
        <x:v>2026-07-21</x:v>
      </x:c>
    </x:row>
    <x:row r="106" ht="34" customHeight="1">
      <x:c r="A106" s="26" t="str">
        <x:v>R17</x:v>
      </x:c>
      <x:c r="B106" s="26" t="str">
        <x:v>Resistor</x:v>
      </x:c>
      <x:c r="C106" s="26" t="str">
        <x:v>0 Ω jumper</x:v>
      </x:c>
      <x:c r="D106" s="26" t="str">
        <x:v>0603</x:v>
      </x:c>
      <x:c r="E106" s="26" t="str">
        <x:v>RES-08</x:v>
      </x:c>
      <x:c r="F106" s="26" t="str">
        <x:v>RC0603JR-070RL</x:v>
      </x:c>
      <x:c r="G106" s="26" t="str">
        <x:v>Buy</x:v>
      </x:c>
      <x:c r="H106" s="26" t="str">
        <x:v>Check live DigiKey stock</x:v>
      </x:c>
      <x:c r="I106" s="26" t="str">
        <x:v>2026-07-21</x:v>
      </x:c>
    </x:row>
    <x:row r="107" ht="34" customHeight="1">
      <x:c r="A107" s="26" t="str">
        <x:v>R18</x:v>
      </x:c>
      <x:c r="B107" s="26" t="str">
        <x:v>Resistor</x:v>
      </x:c>
      <x:c r="C107" s="26" t="str">
        <x:v>1 MΩ</x:v>
      </x:c>
      <x:c r="D107" s="26" t="str">
        <x:v>0603</x:v>
      </x:c>
      <x:c r="E107" s="26" t="str">
        <x:v>DNP</x:v>
      </x:c>
      <x:c r="F107" s="26" t="str">
        <x:v>RC0603FR-071ML</x:v>
      </x:c>
      <x:c r="G107" s="26" t="str">
        <x:v>DNP — do not buy</x:v>
      </x:c>
      <x:c r="H107" s="26" t="str">
        <x:v>Marked do-not-populate in schematic.</x:v>
      </x:c>
      <x:c r="I107" s="26" t="str">
        <x:v>2026-07-21</x:v>
      </x:c>
    </x:row>
    <x:row r="108" ht="34" customHeight="1">
      <x:c r="A108" s="26" t="str">
        <x:v>R19</x:v>
      </x:c>
      <x:c r="B108" s="26" t="str">
        <x:v>Resistor</x:v>
      </x:c>
      <x:c r="C108" s="26" t="str">
        <x:v>10 kΩ</x:v>
      </x:c>
      <x:c r="D108" s="26" t="str">
        <x:v>0603</x:v>
      </x:c>
      <x:c r="E108" s="26" t="str">
        <x:v>DNP</x:v>
      </x:c>
      <x:c r="F108" s="26" t="str">
        <x:v>RC0603FR-0710KL</x:v>
      </x:c>
      <x:c r="G108" s="26" t="str">
        <x:v>DNP — do not buy</x:v>
      </x:c>
      <x:c r="H108" s="26" t="str">
        <x:v>Marked do-not-populate in schematic; R15 is still fitted.</x:v>
      </x:c>
      <x:c r="I108" s="26" t="str">
        <x:v>2026-07-21</x:v>
      </x:c>
    </x:row>
    <x:row r="109" ht="34" customHeight="1">
      <x:c r="A109" s="26" t="str">
        <x:v>R20</x:v>
      </x:c>
      <x:c r="B109" s="26" t="str">
        <x:v>Resistor</x:v>
      </x:c>
      <x:c r="C109" s="26" t="str">
        <x:v>5.1 kΩ</x:v>
      </x:c>
      <x:c r="D109" s="26" t="str">
        <x:v>0603</x:v>
      </x:c>
      <x:c r="E109" s="26" t="str">
        <x:v>RES-04</x:v>
      </x:c>
      <x:c r="F109" s="26" t="str">
        <x:v>RC0603FR-075K1L</x:v>
      </x:c>
      <x:c r="G109" s="26" t="str">
        <x:v>Buy</x:v>
      </x:c>
      <x:c r="H109" s="26" t="str">
        <x:v>Check live DigiKey stock</x:v>
      </x:c>
      <x:c r="I109" s="26" t="str">
        <x:v>2026-07-21</x:v>
      </x:c>
    </x:row>
    <x:row r="110" ht="34" customHeight="1">
      <x:c r="A110" s="26" t="str">
        <x:v>R21</x:v>
      </x:c>
      <x:c r="B110" s="26" t="str">
        <x:v>Resistor</x:v>
      </x:c>
      <x:c r="C110" s="26" t="str">
        <x:v>5.1 kΩ</x:v>
      </x:c>
      <x:c r="D110" s="26" t="str">
        <x:v>0603</x:v>
      </x:c>
      <x:c r="E110" s="26" t="str">
        <x:v>RES-04</x:v>
      </x:c>
      <x:c r="F110" s="26" t="str">
        <x:v>RC0603FR-075K1L</x:v>
      </x:c>
      <x:c r="G110" s="26" t="str">
        <x:v>Buy</x:v>
      </x:c>
      <x:c r="H110" s="26" t="str">
        <x:v>Check live DigiKey stock</x:v>
      </x:c>
      <x:c r="I110" s="26" t="str">
        <x:v>2026-07-21</x:v>
      </x:c>
    </x:row>
    <x:row r="111" ht="34" customHeight="1">
      <x:c r="A111" s="26" t="str">
        <x:v>R22</x:v>
      </x:c>
      <x:c r="B111" s="26" t="str">
        <x:v>Resistor</x:v>
      </x:c>
      <x:c r="C111" s="26" t="str">
        <x:v>5 mΩ</x:v>
      </x:c>
      <x:c r="D111" s="26" t="str">
        <x:v>1206</x:v>
      </x:c>
      <x:c r="E111" s="26" t="str">
        <x:v>RES-09</x:v>
      </x:c>
      <x:c r="F111" s="26" t="str">
        <x:v>PCS1206FR0050ET</x:v>
      </x:c>
      <x:c r="G111" s="26" t="str">
        <x:v>Buy</x:v>
      </x:c>
      <x:c r="H111" s="26" t="str">
        <x:v>CRITICAL current-sense part. Do not use the earlier LVT match with ±75 ppm/°C.</x:v>
      </x:c>
      <x:c r="I111" s="26" t="str">
        <x:v>2026-07-21</x:v>
      </x:c>
    </x:row>
    <x:row r="112" ht="34" customHeight="1">
      <x:c r="A112" s="26" t="str">
        <x:v>R23</x:v>
      </x:c>
      <x:c r="B112" s="26" t="str">
        <x:v>Resistor</x:v>
      </x:c>
      <x:c r="C112" s="26" t="str">
        <x:v>10 mΩ</x:v>
      </x:c>
      <x:c r="D112" s="26" t="str">
        <x:v>1206</x:v>
      </x:c>
      <x:c r="E112" s="26" t="str">
        <x:v>RES-10</x:v>
      </x:c>
      <x:c r="F112" s="26" t="str">
        <x:v>CSNL1206FT10L0</x:v>
      </x:c>
      <x:c r="G112" s="26" t="str">
        <x:v>Buy</x:v>
      </x:c>
      <x:c r="H112" s="26" t="str">
        <x:v>CRITICAL current-sense part; retain low TCR and 1 W rating.</x:v>
      </x:c>
      <x:c r="I112" s="26" t="str">
        <x:v>2026-07-21</x:v>
      </x:c>
    </x:row>
    <x:row r="113" ht="34" customHeight="1">
      <x:c r="A113" s="26" t="str">
        <x:v>R24</x:v>
      </x:c>
      <x:c r="B113" s="26" t="str">
        <x:v>Resistor</x:v>
      </x:c>
      <x:c r="C113" s="26" t="str">
        <x:v>0 Ω jumper</x:v>
      </x:c>
      <x:c r="D113" s="26" t="str">
        <x:v>0603</x:v>
      </x:c>
      <x:c r="E113" s="26" t="str">
        <x:v>RES-08</x:v>
      </x:c>
      <x:c r="F113" s="26" t="str">
        <x:v>RC0603JR-070RL</x:v>
      </x:c>
      <x:c r="G113" s="26" t="str">
        <x:v>Buy</x:v>
      </x:c>
      <x:c r="H113" s="26" t="str">
        <x:v>Check live DigiKey stock</x:v>
      </x:c>
      <x:c r="I113" s="26" t="str">
        <x:v>2026-07-21</x:v>
      </x:c>
    </x:row>
    <x:row r="114" ht="34" customHeight="1">
      <x:c r="A114" s="26" t="str">
        <x:v>R25</x:v>
      </x:c>
      <x:c r="B114" s="26" t="str">
        <x:v>Resistor</x:v>
      </x:c>
      <x:c r="C114" s="26" t="str">
        <x:v>0 Ω jumper</x:v>
      </x:c>
      <x:c r="D114" s="26" t="str">
        <x:v>0603</x:v>
      </x:c>
      <x:c r="E114" s="26" t="str">
        <x:v>RES-08</x:v>
      </x:c>
      <x:c r="F114" s="26" t="str">
        <x:v>RC0603JR-070RL</x:v>
      </x:c>
      <x:c r="G114" s="26" t="str">
        <x:v>Buy</x:v>
      </x:c>
      <x:c r="H114" s="26" t="str">
        <x:v>Check live DigiKey stock</x:v>
      </x:c>
      <x:c r="I114" s="26" t="str">
        <x:v>2026-07-21</x:v>
      </x:c>
    </x:row>
    <x:row r="115" ht="34" customHeight="1">
      <x:c r="A115" s="26" t="str">
        <x:v>R27</x:v>
      </x:c>
      <x:c r="B115" s="26" t="str">
        <x:v>Resistor</x:v>
      </x:c>
      <x:c r="C115" s="26" t="str">
        <x:v>10 Ω</x:v>
      </x:c>
      <x:c r="D115" s="26" t="str">
        <x:v>0402</x:v>
      </x:c>
      <x:c r="E115" s="26" t="str">
        <x:v>RES-11</x:v>
      </x:c>
      <x:c r="F115" s="26" t="str">
        <x:v>RC0402FR-0710RL</x:v>
      </x:c>
      <x:c r="G115" s="26" t="str">
        <x:v>Buy</x:v>
      </x:c>
      <x:c r="H115" s="26" t="str">
        <x:v>Check live DigiKey stock</x:v>
      </x:c>
      <x:c r="I115" s="26" t="str">
        <x:v>2026-07-21</x:v>
      </x:c>
    </x:row>
    <x:row r="116" ht="34" customHeight="1">
      <x:c r="A116" s="26" t="str">
        <x:v>R28</x:v>
      </x:c>
      <x:c r="B116" s="26" t="str">
        <x:v>Resistor</x:v>
      </x:c>
      <x:c r="C116" s="26" t="str">
        <x:v>10 Ω</x:v>
      </x:c>
      <x:c r="D116" s="26" t="str">
        <x:v>0402</x:v>
      </x:c>
      <x:c r="E116" s="26" t="str">
        <x:v>RES-11</x:v>
      </x:c>
      <x:c r="F116" s="26" t="str">
        <x:v>RC0402FR-0710RL</x:v>
      </x:c>
      <x:c r="G116" s="26" t="str">
        <x:v>Buy</x:v>
      </x:c>
      <x:c r="H116" s="26" t="str">
        <x:v>Check live DigiKey stock</x:v>
      </x:c>
      <x:c r="I116" s="26" t="str">
        <x:v>2026-07-21</x:v>
      </x:c>
    </x:row>
    <x:row r="117" ht="34" customHeight="1">
      <x:c r="A117" s="26" t="str">
        <x:v>R29</x:v>
      </x:c>
      <x:c r="B117" s="26" t="str">
        <x:v>Resistor</x:v>
      </x:c>
      <x:c r="C117" s="26" t="str">
        <x:v>0 Ω jumper</x:v>
      </x:c>
      <x:c r="D117" s="26" t="str">
        <x:v>0603</x:v>
      </x:c>
      <x:c r="E117" s="26" t="str">
        <x:v>RES-08</x:v>
      </x:c>
      <x:c r="F117" s="26" t="str">
        <x:v>RC0603JR-070RL</x:v>
      </x:c>
      <x:c r="G117" s="26" t="str">
        <x:v>Buy</x:v>
      </x:c>
      <x:c r="H117" s="26" t="str">
        <x:v>Check live DigiKey stock</x:v>
      </x:c>
      <x:c r="I117" s="26" t="str">
        <x:v>2026-07-21</x:v>
      </x:c>
    </x:row>
    <x:row r="118" ht="34" customHeight="1">
      <x:c r="A118" s="26" t="str">
        <x:v>R30</x:v>
      </x:c>
      <x:c r="B118" s="26" t="str">
        <x:v>Resistor</x:v>
      </x:c>
      <x:c r="C118" s="26" t="str">
        <x:v>0 Ω jumper</x:v>
      </x:c>
      <x:c r="D118" s="26" t="str">
        <x:v>0402</x:v>
      </x:c>
      <x:c r="E118" s="26" t="str">
        <x:v>RES-02</x:v>
      </x:c>
      <x:c r="F118" s="26" t="str">
        <x:v>RC0402JR-070RL</x:v>
      </x:c>
      <x:c r="G118" s="26" t="str">
        <x:v>Buy</x:v>
      </x:c>
      <x:c r="H118" s="26" t="str">
        <x:v>Check live DigiKey stock</x:v>
      </x:c>
      <x:c r="I118" s="26" t="str">
        <x:v>2026-07-21</x:v>
      </x:c>
    </x:row>
    <x:row r="119" ht="34" customHeight="1">
      <x:c r="A119" s="26" t="str">
        <x:v>R31</x:v>
      </x:c>
      <x:c r="B119" s="26" t="str">
        <x:v>Resistor</x:v>
      </x:c>
      <x:c r="C119" s="26" t="str">
        <x:v>5.1 kΩ</x:v>
      </x:c>
      <x:c r="D119" s="26" t="str">
        <x:v>0603</x:v>
      </x:c>
      <x:c r="E119" s="26" t="str">
        <x:v>RES-04</x:v>
      </x:c>
      <x:c r="F119" s="26" t="str">
        <x:v>RC0603FR-075K1L</x:v>
      </x:c>
      <x:c r="G119" s="26" t="str">
        <x:v>Buy</x:v>
      </x:c>
      <x:c r="H119" s="26" t="str">
        <x:v>Check live DigiKey stock</x:v>
      </x:c>
      <x:c r="I119" s="26" t="str">
        <x:v>2026-07-21</x:v>
      </x:c>
    </x:row>
    <x:row r="120" ht="34" customHeight="1">
      <x:c r="A120" s="26" t="str">
        <x:v>R32</x:v>
      </x:c>
      <x:c r="B120" s="26" t="str">
        <x:v>Resistor</x:v>
      </x:c>
      <x:c r="C120" s="26" t="str">
        <x:v>10 Ω</x:v>
      </x:c>
      <x:c r="D120" s="26" t="str">
        <x:v>0603</x:v>
      </x:c>
      <x:c r="E120" s="26" t="str">
        <x:v>RES-12</x:v>
      </x:c>
      <x:c r="F120" s="26" t="str">
        <x:v>RC0603FR-0710RL</x:v>
      </x:c>
      <x:c r="G120" s="26" t="str">
        <x:v>Buy</x:v>
      </x:c>
      <x:c r="H120" s="26" t="str">
        <x:v>Check live DigiKey stock</x:v>
      </x:c>
      <x:c r="I120" s="26" t="str">
        <x:v>2026-07-21</x:v>
      </x:c>
    </x:row>
    <x:row r="121" ht="34" customHeight="1">
      <x:c r="A121" s="26" t="str">
        <x:v>R33</x:v>
      </x:c>
      <x:c r="B121" s="26" t="str">
        <x:v>Resistor</x:v>
      </x:c>
      <x:c r="C121" s="26" t="str">
        <x:v>10 Ω</x:v>
      </x:c>
      <x:c r="D121" s="26" t="str">
        <x:v>0603</x:v>
      </x:c>
      <x:c r="E121" s="26" t="str">
        <x:v>RES-12</x:v>
      </x:c>
      <x:c r="F121" s="26" t="str">
        <x:v>RC0603FR-0710RL</x:v>
      </x:c>
      <x:c r="G121" s="26" t="str">
        <x:v>Buy</x:v>
      </x:c>
      <x:c r="H121" s="26" t="str">
        <x:v>Check live DigiKey stock</x:v>
      </x:c>
      <x:c r="I121" s="26" t="str">
        <x:v>2026-07-21</x:v>
      </x:c>
    </x:row>
    <x:row r="122" ht="34" customHeight="1">
      <x:c r="A122" s="26" t="str">
        <x:v>R34</x:v>
      </x:c>
      <x:c r="B122" s="26" t="str">
        <x:v>Resistor</x:v>
      </x:c>
      <x:c r="C122" s="26" t="str">
        <x:v>62 Ω</x:v>
      </x:c>
      <x:c r="D122" s="26" t="str">
        <x:v>0603</x:v>
      </x:c>
      <x:c r="E122" s="26" t="str">
        <x:v>RES-13</x:v>
      </x:c>
      <x:c r="F122" s="26" t="str">
        <x:v>RC0603FR-0762RL</x:v>
      </x:c>
      <x:c r="G122" s="26" t="str">
        <x:v>Buy</x:v>
      </x:c>
      <x:c r="H122" s="26" t="str">
        <x:v>Check live DigiKey stock</x:v>
      </x:c>
      <x:c r="I122" s="26" t="str">
        <x:v>2026-07-21</x:v>
      </x:c>
    </x:row>
    <x:row r="123" ht="34" customHeight="1">
      <x:c r="A123" s="26" t="str">
        <x:v>R35</x:v>
      </x:c>
      <x:c r="B123" s="26" t="str">
        <x:v>Resistor</x:v>
      </x:c>
      <x:c r="C123" s="26" t="str">
        <x:v>2.2 kΩ</x:v>
      </x:c>
      <x:c r="D123" s="26" t="str">
        <x:v>0603</x:v>
      </x:c>
      <x:c r="E123" s="26" t="str">
        <x:v>RES-14</x:v>
      </x:c>
      <x:c r="F123" s="26" t="str">
        <x:v>RC0603FR-072K2L</x:v>
      </x:c>
      <x:c r="G123" s="26" t="str">
        <x:v>Buy</x:v>
      </x:c>
      <x:c r="H123" s="26" t="str">
        <x:v>Check live DigiKey stock</x:v>
      </x:c>
      <x:c r="I123" s="26" t="str">
        <x:v>2026-07-21</x:v>
      </x:c>
    </x:row>
    <x:row r="124" ht="34" customHeight="1">
      <x:c r="A124" s="26" t="str">
        <x:v>R36</x:v>
      </x:c>
      <x:c r="B124" s="26" t="str">
        <x:v>Resistor</x:v>
      </x:c>
      <x:c r="C124" s="26" t="str">
        <x:v>130 kΩ</x:v>
      </x:c>
      <x:c r="D124" s="26" t="str">
        <x:v>0603</x:v>
      </x:c>
      <x:c r="E124" s="26" t="str">
        <x:v>RES-15</x:v>
      </x:c>
      <x:c r="F124" s="26" t="str">
        <x:v>RC0603FR-07130KL</x:v>
      </x:c>
      <x:c r="G124" s="26" t="str">
        <x:v>Buy</x:v>
      </x:c>
      <x:c r="H124" s="26" t="str">
        <x:v>Check live DigiKey stock</x:v>
      </x:c>
      <x:c r="I124" s="26" t="str">
        <x:v>2026-07-21</x:v>
      </x:c>
    </x:row>
    <x:row r="125" ht="34" customHeight="1">
      <x:c r="A125" s="26" t="str">
        <x:v>R37</x:v>
      </x:c>
      <x:c r="B125" s="26" t="str">
        <x:v>Resistor</x:v>
      </x:c>
      <x:c r="C125" s="26" t="str">
        <x:v>0 Ω jumper</x:v>
      </x:c>
      <x:c r="D125" s="26" t="str">
        <x:v>0603</x:v>
      </x:c>
      <x:c r="E125" s="26" t="str">
        <x:v>RES-08</x:v>
      </x:c>
      <x:c r="F125" s="26" t="str">
        <x:v>RC0603JR-070RL</x:v>
      </x:c>
      <x:c r="G125" s="26" t="str">
        <x:v>Buy</x:v>
      </x:c>
      <x:c r="H125" s="26" t="str">
        <x:v>Check live DigiKey stock</x:v>
      </x:c>
      <x:c r="I125" s="26" t="str">
        <x:v>2026-07-21</x:v>
      </x:c>
    </x:row>
    <x:row r="126" ht="34" customHeight="1">
      <x:c r="A126" s="26" t="str">
        <x:v>R38</x:v>
      </x:c>
      <x:c r="B126" s="26" t="str">
        <x:v>Resistor</x:v>
      </x:c>
      <x:c r="C126" s="26" t="str">
        <x:v>100 kΩ</x:v>
      </x:c>
      <x:c r="D126" s="26" t="str">
        <x:v>0603</x:v>
      </x:c>
      <x:c r="E126" s="26" t="str">
        <x:v>RES-07</x:v>
      </x:c>
      <x:c r="F126" s="26" t="str">
        <x:v>RC0603FR-07100KL</x:v>
      </x:c>
      <x:c r="G126" s="26" t="str">
        <x:v>Buy</x:v>
      </x:c>
      <x:c r="H126" s="26" t="str">
        <x:v>Check live DigiKey stock</x:v>
      </x:c>
      <x:c r="I126" s="26" t="str">
        <x:v>2026-07-21</x:v>
      </x:c>
    </x:row>
    <x:row r="127" ht="34" customHeight="1">
      <x:c r="A127" s="26" t="str">
        <x:v>R39</x:v>
      </x:c>
      <x:c r="B127" s="26" t="str">
        <x:v>Resistor</x:v>
      </x:c>
      <x:c r="C127" s="26" t="str">
        <x:v>5.1 kΩ</x:v>
      </x:c>
      <x:c r="D127" s="26" t="str">
        <x:v>0603</x:v>
      </x:c>
      <x:c r="E127" s="26" t="str">
        <x:v>RES-04</x:v>
      </x:c>
      <x:c r="F127" s="26" t="str">
        <x:v>RC0603FR-075K1L</x:v>
      </x:c>
      <x:c r="G127" s="26" t="str">
        <x:v>Buy</x:v>
      </x:c>
      <x:c r="H127" s="26" t="str">
        <x:v>Check live DigiKey stock</x:v>
      </x:c>
      <x:c r="I127" s="26" t="str">
        <x:v>2026-07-21</x:v>
      </x:c>
    </x:row>
    <x:row r="128" ht="34" customHeight="1">
      <x:c r="A128" s="26" t="str">
        <x:v>R40</x:v>
      </x:c>
      <x:c r="B128" s="26" t="str">
        <x:v>Resistor</x:v>
      </x:c>
      <x:c r="C128" s="26" t="str">
        <x:v>36 kΩ</x:v>
      </x:c>
      <x:c r="D128" s="26" t="str">
        <x:v>0603</x:v>
      </x:c>
      <x:c r="E128" s="26" t="str">
        <x:v>RES-16</x:v>
      </x:c>
      <x:c r="F128" s="26" t="str">
        <x:v>RC0603FR-0736KL</x:v>
      </x:c>
      <x:c r="G128" s="26" t="str">
        <x:v>Buy</x:v>
      </x:c>
      <x:c r="H128" s="26" t="str">
        <x:v>Check live DigiKey stock</x:v>
      </x:c>
      <x:c r="I128" s="26" t="str">
        <x:v>2026-07-21</x:v>
      </x:c>
    </x:row>
    <x:row r="129" ht="34" customHeight="1">
      <x:c r="A129" s="26" t="str">
        <x:v>R41</x:v>
      </x:c>
      <x:c r="B129" s="26" t="str">
        <x:v>Resistor</x:v>
      </x:c>
      <x:c r="C129" s="26" t="str">
        <x:v>3.6 kΩ</x:v>
      </x:c>
      <x:c r="D129" s="26" t="str">
        <x:v>0603</x:v>
      </x:c>
      <x:c r="E129" s="26" t="str">
        <x:v>RES-17</x:v>
      </x:c>
      <x:c r="F129" s="26" t="str">
        <x:v>RC0603FR-073K6L</x:v>
      </x:c>
      <x:c r="G129" s="26" t="str">
        <x:v>Buy</x:v>
      </x:c>
      <x:c r="H129" s="26" t="str">
        <x:v>Check live DigiKey stock</x:v>
      </x:c>
      <x:c r="I129" s="26" t="str">
        <x:v>2026-07-21</x:v>
      </x:c>
    </x:row>
    <x:row r="130" ht="34" customHeight="1">
      <x:c r="A130" s="26" t="str">
        <x:v>R42</x:v>
      </x:c>
      <x:c r="B130" s="26" t="str">
        <x:v>Resistor</x:v>
      </x:c>
      <x:c r="C130" s="26" t="str">
        <x:v>20 kΩ</x:v>
      </x:c>
      <x:c r="D130" s="26" t="str">
        <x:v>0603</x:v>
      </x:c>
      <x:c r="E130" s="26" t="str">
        <x:v>RES-18</x:v>
      </x:c>
      <x:c r="F130" s="26" t="str">
        <x:v>RC0603FR-0720KL</x:v>
      </x:c>
      <x:c r="G130" s="26" t="str">
        <x:v>Buy</x:v>
      </x:c>
      <x:c r="H130" s="26" t="str">
        <x:v>Check live DigiKey stock</x:v>
      </x:c>
      <x:c r="I130" s="26" t="str">
        <x:v>2026-07-21</x:v>
      </x:c>
    </x:row>
    <x:row r="131" ht="34" customHeight="1">
      <x:c r="A131" s="26" t="str">
        <x:v>R43</x:v>
      </x:c>
      <x:c r="B131" s="26" t="str">
        <x:v>Resistor</x:v>
      </x:c>
      <x:c r="C131" s="26" t="str">
        <x:v>0 Ω jumper</x:v>
      </x:c>
      <x:c r="D131" s="26" t="str">
        <x:v>0402</x:v>
      </x:c>
      <x:c r="E131" s="26" t="str">
        <x:v>RES-02</x:v>
      </x:c>
      <x:c r="F131" s="26" t="str">
        <x:v>RC0402JR-070RL</x:v>
      </x:c>
      <x:c r="G131" s="26" t="str">
        <x:v>Buy</x:v>
      </x:c>
      <x:c r="H131" s="26" t="str">
        <x:v>Check live DigiKey stock</x:v>
      </x:c>
      <x:c r="I131" s="26" t="str">
        <x:v>2026-07-21</x:v>
      </x:c>
    </x:row>
    <x:row r="132" ht="34" customHeight="1">
      <x:c r="A132" s="26" t="str">
        <x:v>TP1</x:v>
      </x:c>
      <x:c r="B132" s="26" t="str">
        <x:v>Test point</x:v>
      </x:c>
      <x:c r="C132" s="26" t="str">
        <x:v>Test pad</x:v>
      </x:c>
      <x:c r="D132" s="26" t="str">
        <x:v>PCB copper pad</x:v>
      </x:c>
      <x:c r="E132" s="26" t="str">
        <x:v>PCB-only</x:v>
      </x:c>
      <x:c r="F132" s="26" t="str"/>
      <x:c r="G132" s="26" t="str">
        <x:v>PCB-only — no part</x:v>
      </x:c>
      <x:c r="H132" s="26" t="str">
        <x:v>Pads are fabricated as part of the PCB; there is no component to order.</x:v>
      </x:c>
      <x:c r="I132" s="26" t="str">
        <x:v>2026-07-21</x:v>
      </x:c>
    </x:row>
    <x:row r="133" ht="34" customHeight="1">
      <x:c r="A133" s="26" t="str">
        <x:v>TP2</x:v>
      </x:c>
      <x:c r="B133" s="26" t="str">
        <x:v>Test point</x:v>
      </x:c>
      <x:c r="C133" s="26" t="str">
        <x:v>Test pad</x:v>
      </x:c>
      <x:c r="D133" s="26" t="str">
        <x:v>PCB copper pad</x:v>
      </x:c>
      <x:c r="E133" s="26" t="str">
        <x:v>PCB-only</x:v>
      </x:c>
      <x:c r="F133" s="26" t="str"/>
      <x:c r="G133" s="26" t="str">
        <x:v>PCB-only — no part</x:v>
      </x:c>
      <x:c r="H133" s="26" t="str">
        <x:v>Pads are fabricated as part of the PCB; there is no component to order.</x:v>
      </x:c>
      <x:c r="I133" s="26" t="str">
        <x:v>2026-07-21</x:v>
      </x:c>
    </x:row>
    <x:row r="134" ht="34" customHeight="1">
      <x:c r="A134" s="26" t="str">
        <x:v>TP3</x:v>
      </x:c>
      <x:c r="B134" s="26" t="str">
        <x:v>Test point</x:v>
      </x:c>
      <x:c r="C134" s="26" t="str">
        <x:v>Test pad</x:v>
      </x:c>
      <x:c r="D134" s="26" t="str">
        <x:v>PCB copper pad</x:v>
      </x:c>
      <x:c r="E134" s="26" t="str">
        <x:v>PCB-only</x:v>
      </x:c>
      <x:c r="F134" s="26" t="str"/>
      <x:c r="G134" s="26" t="str">
        <x:v>PCB-only — no part</x:v>
      </x:c>
      <x:c r="H134" s="26" t="str">
        <x:v>Pads are fabricated as part of the PCB; there is no component to order.</x:v>
      </x:c>
      <x:c r="I134" s="26" t="str">
        <x:v>2026-07-21</x:v>
      </x:c>
    </x:row>
    <x:row r="135" ht="34" customHeight="1">
      <x:c r="A135" s="26" t="str">
        <x:v>TP4</x:v>
      </x:c>
      <x:c r="B135" s="26" t="str">
        <x:v>Test point</x:v>
      </x:c>
      <x:c r="C135" s="26" t="str">
        <x:v>Test pad</x:v>
      </x:c>
      <x:c r="D135" s="26" t="str">
        <x:v>PCB copper pad</x:v>
      </x:c>
      <x:c r="E135" s="26" t="str">
        <x:v>PCB-only</x:v>
      </x:c>
      <x:c r="F135" s="26" t="str"/>
      <x:c r="G135" s="26" t="str">
        <x:v>PCB-only — no part</x:v>
      </x:c>
      <x:c r="H135" s="26" t="str">
        <x:v>Pads are fabricated as part of the PCB; there is no component to order.</x:v>
      </x:c>
      <x:c r="I135" s="26" t="str">
        <x:v>2026-07-21</x:v>
      </x:c>
    </x:row>
    <x:row r="136" ht="34" customHeight="1">
      <x:c r="A136" s="26" t="str">
        <x:v>TP5</x:v>
      </x:c>
      <x:c r="B136" s="26" t="str">
        <x:v>Test point</x:v>
      </x:c>
      <x:c r="C136" s="26" t="str">
        <x:v>Test pad</x:v>
      </x:c>
      <x:c r="D136" s="26" t="str">
        <x:v>PCB copper pad</x:v>
      </x:c>
      <x:c r="E136" s="26" t="str">
        <x:v>PCB-only</x:v>
      </x:c>
      <x:c r="F136" s="26" t="str"/>
      <x:c r="G136" s="26" t="str">
        <x:v>PCB-only — no part</x:v>
      </x:c>
      <x:c r="H136" s="26" t="str">
        <x:v>Pads are fabricated as part of the PCB; there is no component to order.</x:v>
      </x:c>
      <x:c r="I136" s="26" t="str">
        <x:v>2026-07-21</x:v>
      </x:c>
    </x:row>
    <x:row r="137" ht="34" customHeight="1">
      <x:c r="A137" s="26" t="str">
        <x:v>TP6</x:v>
      </x:c>
      <x:c r="B137" s="26" t="str">
        <x:v>Test point</x:v>
      </x:c>
      <x:c r="C137" s="26" t="str">
        <x:v>Test pad</x:v>
      </x:c>
      <x:c r="D137" s="26" t="str">
        <x:v>PCB copper pad</x:v>
      </x:c>
      <x:c r="E137" s="26" t="str">
        <x:v>PCB-only</x:v>
      </x:c>
      <x:c r="F137" s="26" t="str"/>
      <x:c r="G137" s="26" t="str">
        <x:v>PCB-only — no part</x:v>
      </x:c>
      <x:c r="H137" s="26" t="str">
        <x:v>Pads are fabricated as part of the PCB; there is no component to order.</x:v>
      </x:c>
      <x:c r="I137" s="26" t="str">
        <x:v>2026-07-21</x:v>
      </x:c>
    </x:row>
    <x:row r="138" ht="34" customHeight="1">
      <x:c r="A138" s="26" t="str">
        <x:v>TP7</x:v>
      </x:c>
      <x:c r="B138" s="26" t="str">
        <x:v>Test point</x:v>
      </x:c>
      <x:c r="C138" s="26" t="str">
        <x:v>Test pad</x:v>
      </x:c>
      <x:c r="D138" s="26" t="str">
        <x:v>PCB copper pad</x:v>
      </x:c>
      <x:c r="E138" s="26" t="str">
        <x:v>PCB-only</x:v>
      </x:c>
      <x:c r="F138" s="26" t="str"/>
      <x:c r="G138" s="26" t="str">
        <x:v>PCB-only — no part</x:v>
      </x:c>
      <x:c r="H138" s="26" t="str">
        <x:v>Pads are fabricated as part of the PCB; there is no component to order.</x:v>
      </x:c>
      <x:c r="I138" s="26" t="str">
        <x:v>2026-07-21</x:v>
      </x:c>
    </x:row>
    <x:row r="139" ht="34" customHeight="1">
      <x:c r="A139" s="26" t="str">
        <x:v>TP8</x:v>
      </x:c>
      <x:c r="B139" s="26" t="str">
        <x:v>Test point</x:v>
      </x:c>
      <x:c r="C139" s="26" t="str">
        <x:v>Test pad</x:v>
      </x:c>
      <x:c r="D139" s="26" t="str">
        <x:v>PCB copper pad</x:v>
      </x:c>
      <x:c r="E139" s="26" t="str">
        <x:v>PCB-only</x:v>
      </x:c>
      <x:c r="F139" s="26" t="str"/>
      <x:c r="G139" s="26" t="str">
        <x:v>PCB-only — no part</x:v>
      </x:c>
      <x:c r="H139" s="26" t="str">
        <x:v>Pads are fabricated as part of the PCB; there is no component to order.</x:v>
      </x:c>
      <x:c r="I139" s="26" t="str">
        <x:v>2026-07-21</x:v>
      </x:c>
    </x:row>
    <x:row r="140" ht="34" customHeight="1">
      <x:c r="A140" s="26" t="str">
        <x:v>TP9</x:v>
      </x:c>
      <x:c r="B140" s="26" t="str">
        <x:v>Test point</x:v>
      </x:c>
      <x:c r="C140" s="26" t="str">
        <x:v>Test pad</x:v>
      </x:c>
      <x:c r="D140" s="26" t="str">
        <x:v>PCB copper pad</x:v>
      </x:c>
      <x:c r="E140" s="26" t="str">
        <x:v>PCB-only</x:v>
      </x:c>
      <x:c r="F140" s="26" t="str"/>
      <x:c r="G140" s="26" t="str">
        <x:v>PCB-only — no part</x:v>
      </x:c>
      <x:c r="H140" s="26" t="str">
        <x:v>Pads are fabricated as part of the PCB; there is no component to order.</x:v>
      </x:c>
      <x:c r="I140" s="26" t="str">
        <x:v>2026-07-21</x:v>
      </x:c>
    </x:row>
    <x:row r="141" ht="34" customHeight="1">
      <x:c r="A141" s="26" t="str">
        <x:v>TP10</x:v>
      </x:c>
      <x:c r="B141" s="26" t="str">
        <x:v>Test point</x:v>
      </x:c>
      <x:c r="C141" s="26" t="str">
        <x:v>Test pad</x:v>
      </x:c>
      <x:c r="D141" s="26" t="str">
        <x:v>PCB copper pad</x:v>
      </x:c>
      <x:c r="E141" s="26" t="str">
        <x:v>PCB-only</x:v>
      </x:c>
      <x:c r="F141" s="26" t="str"/>
      <x:c r="G141" s="26" t="str">
        <x:v>PCB-only — no part</x:v>
      </x:c>
      <x:c r="H141" s="26" t="str">
        <x:v>Pads are fabricated as part of the PCB; there is no component to order.</x:v>
      </x:c>
      <x:c r="I141" s="26" t="str">
        <x:v>2026-07-21</x:v>
      </x:c>
    </x:row>
    <x:row r="142" ht="34" customHeight="1">
      <x:c r="A142" s="26" t="str">
        <x:v>TP11</x:v>
      </x:c>
      <x:c r="B142" s="26" t="str">
        <x:v>Test point</x:v>
      </x:c>
      <x:c r="C142" s="26" t="str">
        <x:v>Test pad</x:v>
      </x:c>
      <x:c r="D142" s="26" t="str">
        <x:v>PCB copper pad</x:v>
      </x:c>
      <x:c r="E142" s="26" t="str">
        <x:v>PCB-only</x:v>
      </x:c>
      <x:c r="F142" s="26" t="str"/>
      <x:c r="G142" s="26" t="str">
        <x:v>PCB-only — no part</x:v>
      </x:c>
      <x:c r="H142" s="26" t="str">
        <x:v>Pads are fabricated as part of the PCB; there is no component to order.</x:v>
      </x:c>
      <x:c r="I142" s="26" t="str">
        <x:v>2026-07-21</x:v>
      </x:c>
    </x:row>
    <x:row r="143" ht="34" customHeight="1">
      <x:c r="A143" s="26" t="str">
        <x:v>TP12</x:v>
      </x:c>
      <x:c r="B143" s="26" t="str">
        <x:v>Test point</x:v>
      </x:c>
      <x:c r="C143" s="26" t="str">
        <x:v>Test pad</x:v>
      </x:c>
      <x:c r="D143" s="26" t="str">
        <x:v>PCB copper pad</x:v>
      </x:c>
      <x:c r="E143" s="26" t="str">
        <x:v>PCB-only</x:v>
      </x:c>
      <x:c r="F143" s="26" t="str"/>
      <x:c r="G143" s="26" t="str">
        <x:v>PCB-only — no part</x:v>
      </x:c>
      <x:c r="H143" s="26" t="str">
        <x:v>Pads are fabricated as part of the PCB; there is no component to order.</x:v>
      </x:c>
      <x:c r="I143" s="26" t="str">
        <x:v>2026-07-21</x:v>
      </x:c>
    </x:row>
    <x:row r="144" ht="34" customHeight="1">
      <x:c r="A144" s="26" t="str">
        <x:v>TP13</x:v>
      </x:c>
      <x:c r="B144" s="26" t="str">
        <x:v>Test point</x:v>
      </x:c>
      <x:c r="C144" s="26" t="str">
        <x:v>Test pad</x:v>
      </x:c>
      <x:c r="D144" s="26" t="str">
        <x:v>PCB copper pad</x:v>
      </x:c>
      <x:c r="E144" s="26" t="str">
        <x:v>PCB-only</x:v>
      </x:c>
      <x:c r="F144" s="26" t="str"/>
      <x:c r="G144" s="26" t="str">
        <x:v>PCB-only — no part</x:v>
      </x:c>
      <x:c r="H144" s="26" t="str">
        <x:v>Pads are fabricated as part of the PCB; there is no component to order.</x:v>
      </x:c>
      <x:c r="I144" s="26" t="str">
        <x:v>2026-07-21</x:v>
      </x:c>
    </x:row>
    <x:row r="145" ht="34" customHeight="1">
      <x:c r="A145" s="26" t="str">
        <x:v>TP14</x:v>
      </x:c>
      <x:c r="B145" s="26" t="str">
        <x:v>Test point</x:v>
      </x:c>
      <x:c r="C145" s="26" t="str">
        <x:v>Test pad</x:v>
      </x:c>
      <x:c r="D145" s="26" t="str">
        <x:v>PCB copper pad</x:v>
      </x:c>
      <x:c r="E145" s="26" t="str">
        <x:v>PCB-only</x:v>
      </x:c>
      <x:c r="F145" s="26" t="str"/>
      <x:c r="G145" s="26" t="str">
        <x:v>PCB-only — no part</x:v>
      </x:c>
      <x:c r="H145" s="26" t="str">
        <x:v>Pads are fabricated as part of the PCB; there is no component to order.</x:v>
      </x:c>
      <x:c r="I145" s="26" t="str">
        <x:v>2026-07-21</x:v>
      </x:c>
    </x:row>
    <x:row r="146" ht="34" customHeight="1">
      <x:c r="A146" s="26" t="str">
        <x:v>TP15</x:v>
      </x:c>
      <x:c r="B146" s="26" t="str">
        <x:v>Test point</x:v>
      </x:c>
      <x:c r="C146" s="26" t="str">
        <x:v>Test pad</x:v>
      </x:c>
      <x:c r="D146" s="26" t="str">
        <x:v>PCB copper pad</x:v>
      </x:c>
      <x:c r="E146" s="26" t="str">
        <x:v>PCB-only</x:v>
      </x:c>
      <x:c r="F146" s="26" t="str"/>
      <x:c r="G146" s="26" t="str">
        <x:v>PCB-only — no part</x:v>
      </x:c>
      <x:c r="H146" s="26" t="str">
        <x:v>Pads are fabricated as part of the PCB; there is no component to order.</x:v>
      </x:c>
      <x:c r="I146" s="26" t="str">
        <x:v>2026-07-21</x:v>
      </x:c>
    </x:row>
    <x:row r="147" ht="34" customHeight="1">
      <x:c r="A147" s="26" t="str">
        <x:v>TP16</x:v>
      </x:c>
      <x:c r="B147" s="26" t="str">
        <x:v>Test point</x:v>
      </x:c>
      <x:c r="C147" s="26" t="str">
        <x:v>Test pad</x:v>
      </x:c>
      <x:c r="D147" s="26" t="str">
        <x:v>PCB copper pad</x:v>
      </x:c>
      <x:c r="E147" s="26" t="str">
        <x:v>PCB-only</x:v>
      </x:c>
      <x:c r="F147" s="26" t="str"/>
      <x:c r="G147" s="26" t="str">
        <x:v>PCB-only — no part</x:v>
      </x:c>
      <x:c r="H147" s="26" t="str">
        <x:v>Pads are fabricated as part of the PCB; there is no component to order.</x:v>
      </x:c>
      <x:c r="I147" s="26" t="str">
        <x:v>2026-07-21</x:v>
      </x:c>
    </x:row>
    <x:row r="148" ht="34" customHeight="1">
      <x:c r="A148" s="26" t="str">
        <x:v>TP17</x:v>
      </x:c>
      <x:c r="B148" s="26" t="str">
        <x:v>Test point</x:v>
      </x:c>
      <x:c r="C148" s="26" t="str">
        <x:v>Test pad</x:v>
      </x:c>
      <x:c r="D148" s="26" t="str">
        <x:v>PCB copper pad</x:v>
      </x:c>
      <x:c r="E148" s="26" t="str">
        <x:v>PCB-only</x:v>
      </x:c>
      <x:c r="F148" s="26" t="str"/>
      <x:c r="G148" s="26" t="str">
        <x:v>PCB-only — no part</x:v>
      </x:c>
      <x:c r="H148" s="26" t="str">
        <x:v>Pads are fabricated as part of the PCB; there is no component to order.</x:v>
      </x:c>
      <x:c r="I148" s="26" t="str">
        <x:v>2026-07-21</x:v>
      </x:c>
    </x:row>
    <x:row r="149" ht="34" customHeight="1">
      <x:c r="A149" s="26" t="str">
        <x:v>TP18</x:v>
      </x:c>
      <x:c r="B149" s="26" t="str">
        <x:v>Test point</x:v>
      </x:c>
      <x:c r="C149" s="26" t="str">
        <x:v>Test pad</x:v>
      </x:c>
      <x:c r="D149" s="26" t="str">
        <x:v>PCB copper pad</x:v>
      </x:c>
      <x:c r="E149" s="26" t="str">
        <x:v>PCB-only</x:v>
      </x:c>
      <x:c r="F149" s="26" t="str"/>
      <x:c r="G149" s="26" t="str">
        <x:v>PCB-only — no part</x:v>
      </x:c>
      <x:c r="H149" s="26" t="str">
        <x:v>Pads are fabricated as part of the PCB; there is no component to order.</x:v>
      </x:c>
      <x:c r="I149" s="26" t="str">
        <x:v>2026-07-21</x:v>
      </x:c>
    </x:row>
    <x:row r="150" ht="34" customHeight="1">
      <x:c r="A150" s="26" t="str">
        <x:v>TP19</x:v>
      </x:c>
      <x:c r="B150" s="26" t="str">
        <x:v>Test point</x:v>
      </x:c>
      <x:c r="C150" s="26" t="str">
        <x:v>Test pad</x:v>
      </x:c>
      <x:c r="D150" s="26" t="str">
        <x:v>PCB copper pad</x:v>
      </x:c>
      <x:c r="E150" s="26" t="str">
        <x:v>PCB-only</x:v>
      </x:c>
      <x:c r="F150" s="26" t="str"/>
      <x:c r="G150" s="26" t="str">
        <x:v>PCB-only — no part</x:v>
      </x:c>
      <x:c r="H150" s="26" t="str">
        <x:v>Pads are fabricated as part of the PCB; there is no component to order.</x:v>
      </x:c>
      <x:c r="I150" s="26" t="str">
        <x:v>2026-07-21</x:v>
      </x:c>
    </x:row>
    <x:row r="151" ht="34" customHeight="1">
      <x:c r="A151" s="26" t="str">
        <x:v>TP20</x:v>
      </x:c>
      <x:c r="B151" s="26" t="str">
        <x:v>Test point</x:v>
      </x:c>
      <x:c r="C151" s="26" t="str">
        <x:v>Test pad</x:v>
      </x:c>
      <x:c r="D151" s="26" t="str">
        <x:v>PCB copper pad</x:v>
      </x:c>
      <x:c r="E151" s="26" t="str">
        <x:v>PCB-only</x:v>
      </x:c>
      <x:c r="F151" s="26" t="str"/>
      <x:c r="G151" s="26" t="str">
        <x:v>PCB-only — no part</x:v>
      </x:c>
      <x:c r="H151" s="26" t="str">
        <x:v>Pads are fabricated as part of the PCB; there is no component to order.</x:v>
      </x:c>
      <x:c r="I151" s="26" t="str">
        <x:v>2026-07-21</x:v>
      </x:c>
    </x:row>
    <x:row r="152" ht="34" customHeight="1">
      <x:c r="A152" s="26" t="str">
        <x:v>TP21</x:v>
      </x:c>
      <x:c r="B152" s="26" t="str">
        <x:v>Test point</x:v>
      </x:c>
      <x:c r="C152" s="26" t="str">
        <x:v>Test pad</x:v>
      </x:c>
      <x:c r="D152" s="26" t="str">
        <x:v>PCB copper pad</x:v>
      </x:c>
      <x:c r="E152" s="26" t="str">
        <x:v>PCB-only</x:v>
      </x:c>
      <x:c r="F152" s="26" t="str"/>
      <x:c r="G152" s="26" t="str">
        <x:v>PCB-only — no part</x:v>
      </x:c>
      <x:c r="H152" s="26" t="str">
        <x:v>Pads are fabricated as part of the PCB; there is no component to order.</x:v>
      </x:c>
      <x:c r="I152" s="26" t="str">
        <x:v>2026-07-21</x:v>
      </x:c>
    </x:row>
    <x:row r="153" ht="34" customHeight="1">
      <x:c r="A153" s="26" t="str">
        <x:v>TP22</x:v>
      </x:c>
      <x:c r="B153" s="26" t="str">
        <x:v>Test point</x:v>
      </x:c>
      <x:c r="C153" s="26" t="str">
        <x:v>Test pad</x:v>
      </x:c>
      <x:c r="D153" s="26" t="str">
        <x:v>PCB copper pad</x:v>
      </x:c>
      <x:c r="E153" s="26" t="str">
        <x:v>PCB-only</x:v>
      </x:c>
      <x:c r="F153" s="26" t="str"/>
      <x:c r="G153" s="26" t="str">
        <x:v>PCB-only — no part</x:v>
      </x:c>
      <x:c r="H153" s="26" t="str">
        <x:v>Pads are fabricated as part of the PCB; there is no component to order.</x:v>
      </x:c>
      <x:c r="I153" s="26" t="str">
        <x:v>2026-07-21</x:v>
      </x:c>
    </x:row>
    <x:row r="154" ht="34" customHeight="1">
      <x:c r="A154" s="26" t="str">
        <x:v>TP23</x:v>
      </x:c>
      <x:c r="B154" s="26" t="str">
        <x:v>Test point</x:v>
      </x:c>
      <x:c r="C154" s="26" t="str">
        <x:v>Test pad</x:v>
      </x:c>
      <x:c r="D154" s="26" t="str">
        <x:v>PCB copper pad</x:v>
      </x:c>
      <x:c r="E154" s="26" t="str">
        <x:v>PCB-only</x:v>
      </x:c>
      <x:c r="F154" s="26" t="str"/>
      <x:c r="G154" s="26" t="str">
        <x:v>PCB-only — no part</x:v>
      </x:c>
      <x:c r="H154" s="26" t="str">
        <x:v>Pads are fabricated as part of the PCB; there is no component to order.</x:v>
      </x:c>
      <x:c r="I154" s="26" t="str">
        <x:v>2026-07-21</x:v>
      </x:c>
    </x:row>
    <x:row r="155" ht="34" customHeight="1">
      <x:c r="A155" s="26" t="str">
        <x:v>U1</x:v>
      </x:c>
      <x:c r="B155" s="26" t="str">
        <x:v>IC</x:v>
      </x:c>
      <x:c r="C155" s="26" t="str">
        <x:v>Qi transmitter controller</x:v>
      </x:c>
      <x:c r="D155" s="26" t="str">
        <x:v>PG-VQFN-68</x:v>
      </x:c>
      <x:c r="E155" s="26" t="str">
        <x:v>IC-01</x:v>
      </x:c>
      <x:c r="F155" s="26" t="str">
        <x:v>WLC1115-68LQXQ</x:v>
      </x:c>
      <x:c r="G155" s="26" t="str">
        <x:v>Buy</x:v>
      </x:c>
      <x:c r="H155" s="26" t="str">
        <x:v>Special-order risk. Do not leave this until the rest of the order is complete.</x:v>
      </x:c>
      <x:c r="I155" s="26" t="str">
        <x:v>2026-07-21</x:v>
      </x:c>
    </x:row>
    <x:row r="156" ht="34" customHeight="1">
      <x:c r="A156" s="26" t="str">
        <x:v>U2</x:v>
      </x:c>
      <x:c r="B156" s="26" t="str">
        <x:v>IC</x:v>
      </x:c>
      <x:c r="C156" s="26" t="str">
        <x:v>Authentication IC</x:v>
      </x:c>
      <x:c r="D156" s="26" t="str">
        <x:v>PG-USON-10-2</x:v>
      </x:c>
      <x:c r="E156" s="26" t="str">
        <x:v>IC-02</x:v>
      </x:c>
      <x:c r="F156" s="26" t="str">
        <x:v>SLS32AIA020U2USON10XTMA2</x:v>
      </x:c>
      <x:c r="G156" s="26" t="str">
        <x:v>Check before buying</x:v>
      </x:c>
      <x:c r="H156" s="26" t="str">
        <x:v>HOLD: schematic text appears to use XTMA1, while the Infineon hardware guide calls out XTMA2. Confirm the exact orderable suffix and provisioning before purchasing.</x:v>
      </x:c>
      <x:c r="I156" s="26" t="str">
        <x:v>2026-07-21</x:v>
      </x:c>
    </x:row>
    <x:row r="157" ht="34" customHeight="1">
      <x:c r="A157" s="26" t="str">
        <x:v>U3</x:v>
      </x:c>
      <x:c r="B157" s="26" t="str">
        <x:v>IC</x:v>
      </x:c>
      <x:c r="C157" s="26" t="str">
        <x:v>Dual operational amplifier</x:v>
      </x:c>
      <x:c r="D157" s="26" t="str">
        <x:v>VSSOP-8 (DGK)</x:v>
      </x:c>
      <x:c r="E157" s="26" t="str">
        <x:v>IC-03</x:v>
      </x:c>
      <x:c r="F157" s="26" t="str">
        <x:v>LMV358AQDGKRQ1</x:v>
      </x:c>
      <x:c r="G157" s="26" t="str">
        <x:v>Buy</x:v>
      </x:c>
      <x:c r="H157" s="26" t="str">
        <x:v>Exact package suffix must remain DGK.</x:v>
      </x:c>
      <x:c r="I157" s="26" t="str">
        <x:v>2026-07-21</x:v>
      </x:c>
    </x:row>
  </x:sheetData>
  <x:mergeCells>
    <x:mergeCell ref="A1:I1"/>
    <x:mergeCell ref="A2:I2"/>
  </x:mergeCells>
  <x:conditionalFormatting sqref="G5:G157">
    <x:cfRule type="containsText" dxfId="3" priority="1" operator="containsText" text="DNP"/>
    <x:cfRule type="containsText" dxfId="4" priority="2" operator="containsText" text="Check"/>
    <x:cfRule type="containsText" dxfId="5" priority="3" operator="containsText" text="Buy"/>
  </x:conditionalFormatting>
  <x:pageMargins left="0.7" right="0.7" top="0.75" bottom="0.75" header="0.3" footer="0.3"/>
  <x:tableParts count="1">
    <x:tablePart xmlns:r="http://schemas.openxmlformats.org/officeDocument/2006/relationships" r:id="Rbc324df5bf8943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24" hidden="0" customWidth="1"/>
    <x:col min="4" max="4" width="24" hidden="0" customWidth="1"/>
    <x:col min="5" max="5" width="34" hidden="0" customWidth="1"/>
    <x:col min="6" max="6" width="14" hidden="0" customWidth="1"/>
    <x:col min="7" max="7" width="70" hidden="0" customWidth="1"/>
  </x:cols>
  <x:sheetData>
    <x:row r="1" ht="30" customHeight="1">
      <x:c r="A1" s="4" t="str">
        <x:v>Do not buy — DNP and PCB-only references</x:v>
      </x:c>
      <x:c r="B1" s="4"/>
      <x:c r="C1" s="4"/>
      <x:c r="D1" s="4"/>
      <x:c r="E1" s="4"/>
      <x:c r="F1" s="4"/>
      <x:c r="G1" s="4"/>
    </x:row>
    <x:row r="2" ht="34" customHeight="1">
      <x:c r="A2" s="8" t="str">
        <x:v>These references are intentionally excluded from Suggested Buy Qty. Optional hardware such as M3 screws/spacers should be handled separately if your enclosure needs it.</x:v>
      </x:c>
      <x:c r="B2" s="8"/>
      <x:c r="C2" s="8"/>
      <x:c r="D2" s="8"/>
      <x:c r="E2" s="8"/>
      <x:c r="F2" s="8"/>
      <x:c r="G2" s="8"/>
    </x:row>
    <x:row r="4">
      <x:c r="A4" s="14" t="str">
        <x:v>Reason</x:v>
      </x:c>
      <x:c r="B4" s="14" t="str">
        <x:v>Designators</x:v>
      </x:c>
      <x:c r="C4" s="14" t="str">
        <x:v>Value / function</x:v>
      </x:c>
      <x:c r="D4" s="14" t="str">
        <x:v>Footprint</x:v>
      </x:c>
      <x:c r="E4" s="14" t="str">
        <x:v>Optional MPN if later fitted</x:v>
      </x:c>
      <x:c r="F4" s="14" t="str">
        <x:v>Buy quantity</x:v>
      </x:c>
      <x:c r="G4" s="14" t="str">
        <x:v>Explanation</x:v>
      </x:c>
    </x:row>
    <x:row r="5" ht="46" customHeight="1">
      <x:c r="A5" s="19" t="str">
        <x:v>DNP</x:v>
      </x:c>
      <x:c r="B5" s="18" t="str">
        <x:v>C9</x:v>
      </x:c>
      <x:c r="C5" s="18" t="str">
        <x:v>10 pF</x:v>
      </x:c>
      <x:c r="D5" s="18" t="str">
        <x:v>0402</x:v>
      </x:c>
      <x:c r="E5" s="18" t="str">
        <x:v>CC0402JRNPO9BN100</x:v>
      </x:c>
      <x:c r="F5" s="18" t="n">
        <x:v>0</x:v>
      </x:c>
      <x:c r="G5" s="18" t="str">
        <x:v>Marked do-not-populate in schematic.</x:v>
      </x:c>
    </x:row>
    <x:row r="6" ht="46" customHeight="1">
      <x:c r="A6" s="19" t="str">
        <x:v>DNP</x:v>
      </x:c>
      <x:c r="B6" s="18" t="str">
        <x:v>C14</x:v>
      </x:c>
      <x:c r="C6" s="18" t="str">
        <x:v>330 pF</x:v>
      </x:c>
      <x:c r="D6" s="18" t="str">
        <x:v>0603</x:v>
      </x:c>
      <x:c r="E6" s="18" t="str">
        <x:v>CC0603JRNPO9BN331</x:v>
      </x:c>
      <x:c r="F6" s="18" t="n">
        <x:v>0</x:v>
      </x:c>
      <x:c r="G6" s="18" t="str">
        <x:v>Marked do-not-populate in schematic.</x:v>
      </x:c>
    </x:row>
    <x:row r="7" ht="46" customHeight="1">
      <x:c r="A7" s="19" t="str">
        <x:v>DNP</x:v>
      </x:c>
      <x:c r="B7" s="18" t="str">
        <x:v>C16</x:v>
      </x:c>
      <x:c r="C7" s="18" t="str">
        <x:v>10 nF</x:v>
      </x:c>
      <x:c r="D7" s="18" t="str">
        <x:v>0603</x:v>
      </x:c>
      <x:c r="E7" s="18" t="str">
        <x:v>CC0603KRX7R9BB103</x:v>
      </x:c>
      <x:c r="F7" s="18" t="n">
        <x:v>0</x:v>
      </x:c>
      <x:c r="G7" s="18" t="str">
        <x:v>Marked do-not-populate in schematic; active 10 nF group excludes it.</x:v>
      </x:c>
    </x:row>
    <x:row r="8" ht="46" customHeight="1">
      <x:c r="A8" s="19" t="str">
        <x:v>DNP</x:v>
      </x:c>
      <x:c r="B8" s="18" t="str">
        <x:v>C49</x:v>
      </x:c>
      <x:c r="C8" s="18" t="str">
        <x:v>100 nF</x:v>
      </x:c>
      <x:c r="D8" s="18" t="str">
        <x:v>0603</x:v>
      </x:c>
      <x:c r="E8" s="18" t="str">
        <x:v>CC0603KRX7R9BB104</x:v>
      </x:c>
      <x:c r="F8" s="18" t="n">
        <x:v>0</x:v>
      </x:c>
      <x:c r="G8" s="18" t="str">
        <x:v>Marked do-not-populate in schematic; active 100 nF group excludes it.</x:v>
      </x:c>
    </x:row>
    <x:row r="9" ht="46" customHeight="1">
      <x:c r="A9" s="19" t="str">
        <x:v>DNP</x:v>
      </x:c>
      <x:c r="B9" s="18" t="str">
        <x:v>R18</x:v>
      </x:c>
      <x:c r="C9" s="18" t="str">
        <x:v>1 MΩ</x:v>
      </x:c>
      <x:c r="D9" s="18" t="str">
        <x:v>0603</x:v>
      </x:c>
      <x:c r="E9" s="18" t="str">
        <x:v>RC0603FR-071ML</x:v>
      </x:c>
      <x:c r="F9" s="18" t="n">
        <x:v>0</x:v>
      </x:c>
      <x:c r="G9" s="18" t="str">
        <x:v>Marked do-not-populate in schematic.</x:v>
      </x:c>
    </x:row>
    <x:row r="10" ht="46" customHeight="1">
      <x:c r="A10" s="19" t="str">
        <x:v>DNP</x:v>
      </x:c>
      <x:c r="B10" s="18" t="str">
        <x:v>R19</x:v>
      </x:c>
      <x:c r="C10" s="18" t="str">
        <x:v>10 kΩ</x:v>
      </x:c>
      <x:c r="D10" s="18" t="str">
        <x:v>0603</x:v>
      </x:c>
      <x:c r="E10" s="18" t="str">
        <x:v>RC0603FR-0710KL</x:v>
      </x:c>
      <x:c r="F10" s="18" t="n">
        <x:v>0</x:v>
      </x:c>
      <x:c r="G10" s="18" t="str">
        <x:v>Marked do-not-populate in schematic; R15 is still fitted.</x:v>
      </x:c>
    </x:row>
    <x:row r="11" ht="46" customHeight="1">
      <x:c r="A11" s="19" t="str">
        <x:v>PCB-only</x:v>
      </x:c>
      <x:c r="B11" s="18" t="str">
        <x:v>TP1,TP2,TP3,TP4,TP5,TP6,TP7,TP8,TP9,TP10,TP11,TP12,TP13,TP14,TP15,TP16,TP17,TP18,TP19,TP20,TP21,TP22,TP23</x:v>
      </x:c>
      <x:c r="C11" s="18" t="str">
        <x:v>Test pad</x:v>
      </x:c>
      <x:c r="D11" s="18" t="str">
        <x:v>PCB copper pad</x:v>
      </x:c>
      <x:c r="E11" s="18" t="str"/>
      <x:c r="F11" s="18" t="n">
        <x:v>0</x:v>
      </x:c>
      <x:c r="G11" s="18" t="str">
        <x:v>Pads are fabricated as part of the PCB; there is no component to order.</x:v>
      </x:c>
    </x:row>
    <x:row r="12" ht="46" customHeight="1">
      <x:c r="A12" s="19" t="str">
        <x:v>PCB-only</x:v>
      </x:c>
      <x:c r="B12" s="18" t="str">
        <x:v>J5</x:v>
      </x:c>
      <x:c r="C12" s="18" t="str">
        <x:v>Solder-wire connection</x:v>
      </x:c>
      <x:c r="D12" s="18" t="str">
        <x:v>PCB copper pads</x:v>
      </x:c>
      <x:c r="E12" s="18" t="str"/>
      <x:c r="F12" s="18" t="n">
        <x:v>0</x:v>
      </x:c>
      <x:c r="G12" s="18" t="str">
        <x:v>The footprint is only solder pads. Wire is external/assembly material if required.</x:v>
      </x:c>
    </x:row>
    <x:row r="13" ht="46" customHeight="1">
      <x:c r="A13" s="19" t="str">
        <x:v>PCB-only</x:v>
      </x:c>
      <x:c r="B13" s="18" t="str">
        <x:v>H1,H2,H3,H4</x:v>
      </x:c>
      <x:c r="C13" s="18" t="str">
        <x:v>M3 mounting hole</x:v>
      </x:c>
      <x:c r="D13" s="18" t="str">
        <x:v>NPTH PCB feature</x:v>
      </x:c>
      <x:c r="E13" s="18" t="str"/>
      <x:c r="F13" s="18" t="n">
        <x:v>0</x:v>
      </x:c>
      <x:c r="G13" s="18" t="str">
        <x:v>The holes are fabricated in the PCB. Screws/spacers are optional mechanical hardware, not PCB components.</x:v>
      </x:c>
    </x:row>
  </x:sheetData>
  <x:mergeCells>
    <x:mergeCell ref="A1:G1"/>
    <x:mergeCell ref="A2:G2"/>
  </x:mergeCells>
  <x:conditionalFormatting sqref="A5:A13">
    <x:cfRule type="containsText" dxfId="6" priority="1" operator="containsText" text="DNP"/>
    <x:cfRule type="containsText" dxfId="7" priority="2" operator="containsText" text="PCB-only"/>
  </x:conditionalFormatting>
  <x:pageMargins left="0.7" right="0.7" top="0.75" bottom="0.75" header="0.3" footer="0.3"/>
  <x:tableParts count="1">
    <x:tablePart xmlns:r="http://schemas.openxmlformats.org/officeDocument/2006/relationships" r:id="R27df2f5e920d44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44" hidden="0" customWidth="1"/>
    <x:col min="5" max="5" width="16" hidden="0" customWidth="1"/>
    <x:col min="6" max="6" width="14" hidden="0" customWidth="1"/>
    <x:col min="7" max="7" width="55" hidden="0" customWidth="1"/>
    <x:col min="8" max="8" width="20" hidden="0" customWidth="1"/>
  </x:cols>
  <x:sheetData>
    <x:row r="1" ht="30" customHeight="1">
      <x:c r="A1" s="4" t="str">
        <x:v>DigiKey purchase assumptions and design-critical notes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Prepared 2026-07-21. Change the blue input cells before ordering; stock and prices are not locked.</x:v>
      </x:c>
      <x:c r="B2" s="8"/>
      <x:c r="C2" s="8"/>
      <x:c r="D2" s="8"/>
      <x:c r="E2" s="8"/>
      <x:c r="F2" s="8"/>
      <x:c r="G2" s="8"/>
      <x:c r="H2" s="8"/>
    </x:row>
    <x:row r="4">
      <x:c r="A4" s="14" t="str">
        <x:v>Input</x:v>
      </x:c>
      <x:c r="B4" s="14" t="str">
        <x:v>Value</x:v>
      </x:c>
    </x:row>
    <x:row r="5">
      <x:c r="A5" t="str">
        <x:v>Boards to build</x:v>
      </x:c>
      <x:c r="B5" s="5" t="n">
        <x:v>1</x:v>
      </x:c>
    </x:row>
    <x:row r="6">
      <x:c r="A6" t="str">
        <x:v>Passive spare %</x:v>
      </x:c>
      <x:c r="B6" s="15" t="n">
        <x:v>0.2</x:v>
      </x:c>
    </x:row>
    <x:row r="7">
      <x:c r="A7" t="str">
        <x:v>Semiconductor / IC spare %</x:v>
      </x:c>
      <x:c r="B7" s="15" t="n">
        <x:v>0.1</x:v>
      </x:c>
    </x:row>
    <x:row r="8">
      <x:c r="A8" t="str">
        <x:v>Connector / mechanical spare %</x:v>
      </x:c>
      <x:c r="B8" s="15" t="n">
        <x:v>0</x:v>
      </x:c>
    </x:row>
    <x:row r="9">
      <x:c r="A9" t="str">
        <x:v>Currency</x:v>
      </x:c>
      <x:c r="B9" s="5" t="str">
        <x:v>AUD</x:v>
      </x:c>
    </x:row>
    <x:row r="11">
      <x:c r="A11" s="14" t="str">
        <x:v>Priority</x:v>
      </x:c>
      <x:c r="B11" s="14" t="str">
        <x:v>Item</x:v>
      </x:c>
      <x:c r="C11" s="14" t="str">
        <x:v>What to check</x:v>
      </x:c>
      <x:c r="D11" s="14" t="str">
        <x:v>Why it matters</x:v>
      </x:c>
      <x:c r="E11" s="14" t="str">
        <x:v>Reference(s)</x:v>
      </x:c>
      <x:c r="F11" s="14" t="str">
        <x:v>Status</x:v>
      </x:c>
      <x:c r="G11" s="14" t="str">
        <x:v>Source</x:v>
      </x:c>
      <x:c r="H11" s="14" t="str">
        <x:v>Checked by / date</x:v>
      </x:c>
    </x:row>
    <x:row r="12">
      <x:c r="A12" s="20" t="str">
        <x:v>STOP</x:v>
      </x:c>
      <x:c r="B12" s="18" t="str">
        <x:v>U2 suffix and provisioning</x:v>
      </x:c>
      <x:c r="C12" s="18" t="str">
        <x:v>Confirm XTMA1 versus XTMA2 and the correct provisioned authentication device before purchase.</x:v>
      </x:c>
      <x:c r="D12" s="18" t="str">
        <x:v>These parts are not necessarily interchangeable or blank-programmable in your workflow.</x:v>
      </x:c>
      <x:c r="E12" s="18" t="str">
        <x:v>U2</x:v>
      </x:c>
      <x:c r="F12" s="18" t="str">
        <x:v>Open</x:v>
      </x:c>
      <x:c r="G12" s="23" t="str">
        <x:v>https://www.infineon.com/assets/row/public/documents/24/42/infineon-an235387---hardware-design-guidelines-for-wlc-transmitter-applicationnotes-en.pdf?fileId=8ac78c8c80027ecd0180d10ad15070d4</x:v>
      </x:c>
      <x:c r="H12" s="18" t="str"/>
    </x:row>
    <x:row r="13">
      <x:c r="A13" s="20" t="str">
        <x:v>STOP</x:v>
      </x:c>
      <x:c r="B13" s="18" t="str">
        <x:v>J4 connector gender</x:v>
      </x:c>
      <x:c r="C13" s="18" t="str">
        <x:v>PCB footprint is a right-angle male header; schematic wording says socket.</x:v>
      </x:c>
      <x:c r="D13" s="18" t="str">
        <x:v>Wrong gender may fit the PCB but not your cable.</x:v>
      </x:c>
      <x:c r="E13" s="18" t="str">
        <x:v>J4</x:v>
      </x:c>
      <x:c r="F13" s="18" t="str">
        <x:v>Open</x:v>
      </x:c>
      <x:c r="G13" s="23" t="str">
        <x:v>Open project schematic/PCB</x:v>
      </x:c>
      <x:c r="H13" s="18" t="str"/>
    </x:row>
    <x:row r="14">
      <x:c r="A14" s="21" t="str">
        <x:v>HIGH</x:v>
      </x:c>
      <x:c r="B14" s="18" t="str">
        <x:v>Qi controller availability</x:v>
      </x:c>
      <x:c r="C14" s="18" t="str">
        <x:v>Secure U1 first and verify the current DigiKey lifecycle/stock status.</x:v>
      </x:c>
      <x:c r="D14" s="18" t="str">
        <x:v>The listing appeared limited / last-time-buy when checked.</x:v>
      </x:c>
      <x:c r="E14" s="18" t="str">
        <x:v>U1</x:v>
      </x:c>
      <x:c r="F14" s="18" t="str">
        <x:v>Open</x:v>
      </x:c>
      <x:c r="G14" s="23" t="str">
        <x:v>https://www.digikey.com/en/products/detail/infineon-technologies/WLC1115-68LQXQ/16676239</x:v>
      </x:c>
      <x:c r="H14" s="18" t="str"/>
    </x:row>
    <x:row r="15">
      <x:c r="A15" s="21" t="str">
        <x:v>HIGH</x:v>
      </x:c>
      <x:c r="B15" s="18" t="str">
        <x:v>Q8 availability</x:v>
      </x:c>
      <x:c r="C15" s="18" t="str">
        <x:v>Exact MPN had no DigiKey stock; validate any cross-reference for voltage, pinout and gate drive.</x:v>
      </x:c>
      <x:c r="D15" s="18" t="str">
        <x:v>A casual BSS138 substitution may not preserve all limits.</x:v>
      </x:c>
      <x:c r="E15" s="18" t="str">
        <x:v>Q8</x:v>
      </x:c>
      <x:c r="F15" s="18" t="str">
        <x:v>Open</x:v>
      </x:c>
      <x:c r="G15" s="23" t="str">
        <x:v>https://www.digikey.com/en/products/detail/infineon-technologies/BSS138NH6327XTSA2/5413728</x:v>
      </x:c>
      <x:c r="H15" s="18" t="str"/>
    </x:row>
    <x:row r="16">
      <x:c r="A16" s="21" t="str">
        <x:v>HIGH</x:v>
      </x:c>
      <x:c r="B16" s="18" t="str">
        <x:v>Bridge capacitors</x:v>
      </x:c>
      <x:c r="C16" s="18" t="str">
        <x:v>Buy the specified 100 V C0G/NP0 parts, not generic 100 nF X7R parts.</x:v>
      </x:c>
      <x:c r="D16" s="18" t="str">
        <x:v>Capacitance stability and voltage rating affect the resonant power stage.</x:v>
      </x:c>
      <x:c r="E16" s="18" t="str">
        <x:v>C34–C38</x:v>
      </x:c>
      <x:c r="F16" s="18" t="str">
        <x:v>Mapped</x:v>
      </x:c>
      <x:c r="G16" s="23" t="str">
        <x:v>https://www.digikey.com/en/products/detail/murata-electronics/GRM31C5C2A104JA01L/7363059</x:v>
      </x:c>
      <x:c r="H16" s="18" t="str"/>
    </x:row>
    <x:row r="17">
      <x:c r="A17" s="21" t="str">
        <x:v>HIGH</x:v>
      </x:c>
      <x:c r="B17" s="18" t="str">
        <x:v>5.6 nF capacitor</x:v>
      </x:c>
      <x:c r="C17" s="18" t="str">
        <x:v>Use 100 V C0G/NP0 TDK C1608C0G2A562J080AC.</x:v>
      </x:c>
      <x:c r="D17" s="18" t="str">
        <x:v>The initial JLC match shown in the screenshot was only 50 V X7R.</x:v>
      </x:c>
      <x:c r="E17" s="18" t="str">
        <x:v>C51</x:v>
      </x:c>
      <x:c r="F17" s="18" t="str">
        <x:v>Mapped</x:v>
      </x:c>
      <x:c r="G17" s="23" t="str">
        <x:v>https://www.digikey.com/en/products/detail/tdk/C1608C0G2A562J080AC/5023337</x:v>
      </x:c>
      <x:c r="H17" s="18" t="str"/>
    </x:row>
    <x:row r="18">
      <x:c r="A18" s="21" t="str">
        <x:v>HIGH</x:v>
      </x:c>
      <x:c r="B18" s="18" t="str">
        <x:v>Current shunts</x:v>
      </x:c>
      <x:c r="C18" s="18" t="str">
        <x:v>Keep ±1%, 1 W and ≤50 ppm/°C.</x:v>
      </x:c>
      <x:c r="D18" s="18" t="str">
        <x:v>Sense error and temperature drift affect current control/protection.</x:v>
      </x:c>
      <x:c r="E18" s="18" t="str">
        <x:v>R22,R23</x:v>
      </x:c>
      <x:c r="F18" s="18" t="str">
        <x:v>Mapped</x:v>
      </x:c>
      <x:c r="G18" s="23" t="str">
        <x:v>https://www.digikey.com/en/products/detail/ohmite/PCS1206FR0050ET/10670858</x:v>
      </x:c>
      <x:c r="H18" s="18" t="str"/>
    </x:row>
    <x:row r="19">
      <x:c r="A19" s="22" t="str">
        <x:v>MED</x:v>
      </x:c>
      <x:c r="B19" s="18" t="str">
        <x:v>External Qi coil</x:v>
      </x:c>
      <x:c r="C19" s="18" t="str">
        <x:v>Validate MP-A11 geometry, inductance, shielding, DCR and current rating before any substitution.</x:v>
      </x:c>
      <x:c r="D19" s="18" t="str">
        <x:v>Inductance alone is not enough for a Qi transmitter coil.</x:v>
      </x:c>
      <x:c r="E19" s="18" t="str">
        <x:v>EXT-COIL</x:v>
      </x:c>
      <x:c r="F19" s="18" t="str">
        <x:v>Open</x:v>
      </x:c>
      <x:c r="G19" s="23" t="str">
        <x:v>https://www.digikey.com/en/products/result?keywords=IWTX5050CZEB6R3KF1</x:v>
      </x:c>
      <x:c r="H19" s="18" t="str"/>
    </x:row>
    <x:row r="20">
      <x:c r="A20" s="22" t="str">
        <x:v>INFO</x:v>
      </x:c>
      <x:c r="B20" s="18" t="str">
        <x:v>Prices and stock</x:v>
      </x:c>
      <x:c r="C20" s="18" t="str">
        <x:v>Open every link immediately before checkout and fill Unit Price / Order Status.</x:v>
      </x:c>
      <x:c r="D20" s="18" t="str">
        <x:v>Distributor status changes; this workbook is a buying checklist, not a stock reservation.</x:v>
      </x:c>
      <x:c r="E20" s="18" t="str">
        <x:v>All</x:v>
      </x:c>
      <x:c r="F20" s="18" t="str">
        <x:v>Ongoing</x:v>
      </x:c>
      <x:c r="G20" s="23" t="str">
        <x:v>https://www.digikey.com/</x:v>
      </x:c>
      <x:c r="H20" s="18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4cf643eb602476e"/>
  </x:tableParts>
</x:worksheet>
</file>